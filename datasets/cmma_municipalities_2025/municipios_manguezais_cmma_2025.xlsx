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0645653c1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 método" sheetId="1" r:id="Rab4759586b1047e1"/>
    <x:sheet xmlns:r="http://schemas.openxmlformats.org/officeDocument/2006/relationships" name="Municípios" sheetId="2" r:id="R953733bd6df0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00"/>
    <x:numFmt numFmtId="202" formatCode="#,##0.00"/>
    <x:numFmt numFmtId="203" formatCode="0.00%"/>
    <x:numFmt numFmtId="204" formatCode="0.0000"/>
  </x:numFmts>
  <x:fonts count="6">
    <x:font>
      <x:sz val="11"/>
      <x:name val="Carlito"/>
    </x:font>
    <x:font>
      <x:sz val="10"/>
      <x:color rgb="FF243239"/>
      <x:name val="Arial"/>
    </x:font>
    <x:font>
      <x:b/>
      <x:sz val="10"/>
      <x:color rgb="FFFFFFFF"/>
      <x:name val="Arial"/>
    </x:font>
    <x:font>
      <x:b/>
      <x:sz val="14"/>
      <x:color rgb="FF244C34"/>
      <x:name val="Arial"/>
    </x:font>
    <x:font>
      <x:i/>
      <x:sz val="10"/>
      <x:color rgb="FF52635A"/>
      <x:name val="Arial"/>
    </x:font>
    <x:font>
      <x:b/>
      <x:sz val="10"/>
      <x:color rgb="FF2432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583C"/>
      </x:patternFill>
    </x:fill>
    <x:fill>
      <x:patternFill patternType="solid">
        <x:fgColor rgb="FFF1F6F2"/>
      </x:patternFill>
    </x:fill>
    <x:fill>
      <x:patternFill patternType="solid">
        <x:fgColor rgb="FFE1ECE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3A99B"/>
      </x:bottom>
      <x:diagonal/>
    </x:border>
    <x:border>
      <x:left/>
      <x:right/>
      <x:top style="thin">
        <x:color rgb="FF496452"/>
      </x:top>
      <x:bottom style="thin">
        <x:color rgb="FF496452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right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2" fontId="5" fillId="4" borderId="2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ca3fab84e4904" /><Relationship Type="http://schemas.openxmlformats.org/officeDocument/2006/relationships/theme" Target="/xl/theme/theme1.xml" Id="Ra307dcfc55614a36" /><Relationship Type="http://schemas.openxmlformats.org/officeDocument/2006/relationships/sharedStrings" Target="/xl/sharedStrings.xml" Id="R7b8d4f392853470a" /><Relationship Type="http://schemas.openxmlformats.org/officeDocument/2006/relationships/worksheet" Target="/xl/worksheets/sheet1.xml" Id="Rab4759586b1047e1" /><Relationship Type="http://schemas.openxmlformats.org/officeDocument/2006/relationships/worksheet" Target="/xl/worksheets/sheet2.xml" Id="R953733bd6df045db" /></Relationships>
</file>

<file path=xl/tables/table1.xml><?xml version="1.0" encoding="utf-8"?>
<x:table xmlns:x="http://schemas.openxmlformats.org/spreadsheetml/2006/main" id="1" name="MunicipiosMangue2025" displayName="MunicipiosMangue2025" ref="A1:J66" headerRowCount="1" totalsRowCount="0" totalsRowShown="0">
  <x:autoFilter ref="A1:J66"/>
  <x:tableColumns count="10">
    <x:tableColumn id="1" name="Código IBGE"/>
    <x:tableColumn id="2" name="Município"/>
    <x:tableColumn id="3" name="UF"/>
    <x:tableColumn id="4" name="Pixels de mangue no recorte"/>
    <x:tableColumn id="5" name="Mangue no recorte (km²)"/>
    <x:tableColumn id="6" name="Mangue no recorte (ha)"/>
    <x:tableColumn id="7" name="Participação no total do recorte"/>
    <x:tableColumn id="8" name="Pixels de mangue simulável"/>
    <x:tableColumn id="9" name="Mangue simulável (km²)"/>
    <x:tableColumn id="10" name="Mangue fora do domínio (km²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8e7661f7d74a27" /></Relationships>
</file>

<file path=xl/worksheets/sheet1.xml><?xml version="1.0" encoding="utf-8"?>
<x:worksheet xmlns:x="http://schemas.openxmlformats.org/spreadsheetml/2006/main">
  <x:sheetPr>
    <x:tabColor rgb="FF237B3B"/>
  </x:sheetPr>
  <x:sheetViews>
    <x:sheetView showGridLines="0" workbookViewId="0"/>
  </x:sheetViews>
  <x:sheetFormatPr defaultRowHeight="15"/>
  <x:cols>
    <x:col min="1" max="1" width="39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17" t="str">
        <x:v>Manguezais da CMMA em 2025</x:v>
      </x:c>
      <x:c r="B2" s="2"/>
      <x:c r="C2" s="2"/>
      <x:c r="D2" s="2"/>
      <x:c r="E2" s="2"/>
      <x:c r="F2" s="2"/>
    </x:row>
    <x:row r="3" ht="22" customHeight="1">
      <x:c r="A3" s="18"/>
      <x:c r="B3" s="18"/>
      <x:c r="C3" s="18"/>
      <x:c r="D3" s="18"/>
      <x:c r="E3" s="18"/>
      <x:c r="F3" s="18"/>
    </x:row>
    <x:row r="4" ht="22" customHeight="1">
      <x:c r="A4" s="19" t="str">
        <x:v>MapBiomas coleção 11, classe 5. Malha municipal IBGE 2025.</x:v>
      </x:c>
      <x:c r="B4" s="2"/>
      <x:c r="C4" s="2"/>
      <x:c r="D4" s="2"/>
      <x:c r="E4" s="2"/>
      <x:c r="F4" s="2"/>
    </x:row>
    <x:row r="5" ht="43" customHeight="1">
      <x:c r="A5" s="6" t="str">
        <x:v>Estado / recorte</x:v>
      </x:c>
      <x:c r="B5" s="6" t="str">
        <x:v>Municípios</x:v>
      </x:c>
      <x:c r="C5" s="6" t="str">
        <x:v>Mangue no recorte (km²)</x:v>
      </x:c>
      <x:c r="D5" s="6" t="str">
        <x:v>Mangue no recorte (ha)</x:v>
      </x:c>
      <x:c r="E5" s="6" t="str">
        <x:v>Mangue simulável (km²)</x:v>
      </x:c>
      <x:c r="F5" s="6" t="str">
        <x:v>Fora do domínio (km²)</x:v>
      </x:c>
    </x:row>
    <x:row r="6" ht="22" customHeight="1">
      <x:c r="A6" s="2" t="str">
        <x:v>Pará (PA)</x:v>
      </x:c>
      <x:c r="B6" s="8" t="n">
        <x:f>COUNTIFS('Municípios'!$C$2:$C$66,"PA")</x:f>
        <x:v>26</x:v>
      </x:c>
      <x:c r="C6" s="9" t="n">
        <x:f>SUMIFS('Municípios'!$E$2:$E$66,'Municípios'!$C$2:$C$66,"PA")</x:f>
        <x:v>2241.0296999999996</x:v>
      </x:c>
      <x:c r="D6" s="10" t="n">
        <x:f>C6*100</x:f>
        <x:v>224102.96999999997</x:v>
      </x:c>
      <x:c r="E6" s="9" t="n">
        <x:f>SUMIFS('Municípios'!$I$2:$I$66,'Municípios'!$C$2:$C$66,"PA")</x:f>
        <x:v>2229.1991999999996</x:v>
      </x:c>
      <x:c r="F6" s="9" t="n">
        <x:f>C6-E6</x:f>
        <x:v>11.830500000000029</x:v>
      </x:c>
    </x:row>
    <x:row r="7" ht="22" customHeight="1">
      <x:c r="A7" s="2" t="str">
        <x:v>Maranhão (MA)</x:v>
      </x:c>
      <x:c r="B7" s="8" t="n">
        <x:f>COUNTIFS('Municípios'!$C$2:$C$66,"MA")</x:f>
        <x:v>39</x:v>
      </x:c>
      <x:c r="C7" s="9" t="n">
        <x:f>SUMIFS('Municípios'!$E$2:$E$66,'Municípios'!$C$2:$C$66,"MA")</x:f>
        <x:v>4509.4455</x:v>
      </x:c>
      <x:c r="D7" s="10" t="n">
        <x:f>C7*100</x:f>
        <x:v>450944.55</x:v>
      </x:c>
      <x:c r="E7" s="9" t="n">
        <x:f>SUMIFS('Municípios'!$I$2:$I$66,'Municípios'!$C$2:$C$66,"MA")</x:f>
        <x:v>4504.6215</x:v>
      </x:c>
      <x:c r="F7" s="9" t="n">
        <x:f>C7-E7</x:f>
        <x:v>4.823999999999614</x:v>
      </x:c>
    </x:row>
    <x:row r="8" ht="22" customHeight="1">
      <x:c r="A8" s="2" t="str">
        <x:v>Sem correspondência municipal</x:v>
      </x:c>
      <x:c r="B8" s="8" t="str">
        <x:v>n.a.</x:v>
      </x:c>
      <x:c r="C8" s="9" t="n">
        <x:f>B21*$B$20</x:f>
        <x:v>32.4225</x:v>
      </x:c>
      <x:c r="D8" s="10" t="n">
        <x:f>C8*100</x:f>
        <x:v>3242.25</x:v>
      </x:c>
      <x:c r="E8" s="9" t="n">
        <x:f>B22*$B$20</x:f>
        <x:v>25.0443</x:v>
      </x:c>
      <x:c r="F8" s="9" t="n">
        <x:f>C8-E8</x:f>
        <x:v>7.3782</x:v>
      </x:c>
    </x:row>
    <x:row r="9" ht="22" customHeight="1">
      <x:c r="A9" s="28" t="str">
        <x:v>TOTAL DO RECORTE</x:v>
      </x:c>
      <x:c r="B9" s="29" t="n">
        <x:f>SUM(B6:B7)</x:f>
        <x:v>65</x:v>
      </x:c>
      <x:c r="C9" s="30" t="n">
        <x:f>SUM(C6:C8)</x:f>
        <x:v>6782.897699999999</x:v>
      </x:c>
      <x:c r="D9" s="31" t="n">
        <x:f>SUM(D6:D8)</x:f>
        <x:v>678289.77</x:v>
      </x:c>
      <x:c r="E9" s="30" t="n">
        <x:f>SUM(E6:E8)</x:f>
        <x:v>6758.865</x:v>
      </x:c>
      <x:c r="F9" s="30" t="n">
        <x:f>SUM(F6:F8)</x:f>
        <x:v>24.032699999999643</x:v>
      </x:c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 t="str">
        <x:v>Área no recorte: todos os pixels de mangue do raster preparado da área de estudo.</x:v>
      </x:c>
      <x:c r="B11" s="2"/>
      <x:c r="C11" s="2"/>
      <x:c r="D11" s="2"/>
      <x:c r="E11" s="2"/>
      <x:c r="F11" s="2"/>
    </x:row>
    <x:row r="12" ht="22" customHeight="1">
      <x:c r="A12" s="2" t="str">
        <x:v>Área simulável: parcela com dados válidos na máscara usada nas três simulações.</x:v>
      </x:c>
      <x:c r="B12" s="2"/>
      <x:c r="C12" s="2"/>
      <x:c r="D12" s="2"/>
      <x:c r="E12" s="2"/>
      <x:c r="F12" s="2"/>
    </x:row>
    <x:row r="13" ht="22" customHeight="1">
      <x:c r="A13" s="2" t="str">
        <x:v>A linha sem correspondência mantém os pixels fora da malha municipal, sem atribuição por proximidade.</x:v>
      </x:c>
      <x:c r="B13" s="2"/>
      <x:c r="C13" s="2"/>
      <x:c r="D13" s="2"/>
      <x:c r="E13" s="2"/>
      <x:c r="F13" s="2"/>
    </x:row>
    <x:row r="14" ht="22" customHeight="1">
      <x:c r="A14" s="2" t="str">
        <x:v>Os totais estaduais incluem somente os pixels contidos nos respectivos polígonos municipais.</x:v>
      </x:c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32" t="str">
        <x:v>Método de cálculo</x:v>
      </x:c>
      <x:c r="B16" s="2"/>
      <x:c r="C16" s="2"/>
      <x:c r="D16" s="2"/>
      <x:c r="E16" s="2"/>
      <x:c r="F16" s="2"/>
    </x:row>
    <x:row r="17" ht="22" customHeight="1">
      <x:c r="A17" s="2" t="str">
        <x:v>Municípios selecionados: pelo menos um centro de pixel de mangue dentro do polígono municipal e do recorte.</x:v>
      </x:c>
      <x:c r="B17" s="2"/>
      <x:c r="C17" s="2"/>
      <x:c r="D17" s="2"/>
      <x:c r="E17" s="2"/>
      <x:c r="F17" s="2"/>
    </x:row>
    <x:row r="18" ht="22" customHeight="1">
      <x:c r="A18" s="2" t="str">
        <x:v>Área = contagem de pixels × 0,0009 km². Grade de 30 × 30 m em SIRGAS 2000 / Brazil Albers (EPSG:10857).</x:v>
      </x:c>
      <x:c r="B18" s="2"/>
      <x:c r="C18" s="2"/>
      <x:c r="D18" s="2"/>
      <x:c r="E18" s="2"/>
      <x:c r="F18" s="2"/>
    </x:row>
    <x:row r="19" ht="22" customHeight="1">
      <x:c r="A19" s="2" t="str">
        <x:v>Os cálculos usam contagens inteiras, sem arredondamento intermediário. As áreas são estimativas cartográficas.</x:v>
      </x:c>
      <x:c r="B19" s="2"/>
      <x:c r="C19" s="2"/>
      <x:c r="D19" s="2"/>
      <x:c r="E19" s="2"/>
      <x:c r="F19" s="2"/>
    </x:row>
    <x:row r="20" ht="22" customHeight="1">
      <x:c r="A20" s="2" t="str">
        <x:v>Área de um pixel (km²)</x:v>
      </x:c>
      <x:c r="B20" s="33" t="n">
        <x:v>0.0009</x:v>
      </x:c>
      <x:c r="C20" s="2"/>
      <x:c r="D20" s="2"/>
      <x:c r="E20" s="2"/>
      <x:c r="F20" s="2"/>
    </x:row>
    <x:row r="21" ht="22" customHeight="1">
      <x:c r="A21" s="2" t="str">
        <x:v>Pixels sem município (recorte)</x:v>
      </x:c>
      <x:c r="B21" s="34" t="n">
        <x:v>36025</x:v>
      </x:c>
      <x:c r="C21" s="2"/>
      <x:c r="D21" s="2"/>
      <x:c r="E21" s="2"/>
      <x:c r="F21" s="2"/>
    </x:row>
    <x:row r="22" ht="22" customHeight="1">
      <x:c r="A22" s="2" t="str">
        <x:v>Pixels sem município (simuláveis)</x:v>
      </x:c>
      <x:c r="B22" s="34" t="n">
        <x:v>27827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 t="str">
        <x:v>Sem correspondência: 0,478% do mangue mapeado. Não houve sobreposição municipal nos centros dos pixels.</x:v>
      </x:c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32" t="str">
        <x:v>Fontes e rastreabilidade</x:v>
      </x:c>
      <x:c r="B26" s="2"/>
      <x:c r="C26" s="2"/>
      <x:c r="D26" s="2"/>
      <x:c r="E26" s="2"/>
      <x:c r="F26" s="2"/>
    </x:row>
    <x:row r="27" ht="22" customHeight="1">
      <x:c r="A27" s="2" t="str">
        <x:v>Limites: IBGE, Malha Municipal Digital 2025, arquivos originais de Pará e Maranhão (SIRGAS 2000).</x:v>
      </x:c>
      <x:c r="B27" s="2"/>
      <x:c r="C27" s="2"/>
      <x:c r="D27" s="2"/>
      <x:c r="E27" s="2"/>
      <x:c r="F27" s="2"/>
    </x:row>
    <x:row r="28" ht="22" customHeight="1">
      <x:c r="A28" s="2" t="str">
        <x:v>https://geoftp.ibge.gov.br/organizacao_do_territorio/malhas_territoriais/malhas_municipais/municipio_2025/UFs/PA/PA_Municipios_2025.zip</x:v>
      </x:c>
      <x:c r="B28" s="2"/>
      <x:c r="C28" s="2"/>
      <x:c r="D28" s="2"/>
      <x:c r="E28" s="2"/>
      <x:c r="F28" s="2"/>
    </x:row>
    <x:row r="29" ht="22" customHeight="1">
      <x:c r="A29" s="2" t="str">
        <x:v>https://geoftp.ibge.gov.br/organizacao_do_territorio/malhas_territoriais/malhas_municipais/municipio_2025/UFs/MA/MA_Municipios_2025.zip</x:v>
      </x:c>
      <x:c r="B29" s="2"/>
      <x:c r="C29" s="2"/>
      <x:c r="D29" s="2"/>
      <x:c r="E29" s="2"/>
      <x:c r="F29" s="2"/>
    </x:row>
    <x:row r="30" ht="22" customHeight="1">
      <x:c r="A30" s="2" t="str">
        <x:v>Cobertura: MapBiomas Brasil, coleção 11, classificação de 2025, código 5 (mangue), resolução de 30 m.</x:v>
      </x:c>
      <x:c r="B30" s="2"/>
      <x:c r="C30" s="2"/>
      <x:c r="D30" s="2"/>
      <x:c r="E30" s="2"/>
      <x:c r="F30" s="2"/>
    </x:row>
    <x:row r="31" ht="22" customHeight="1">
      <x:c r="A31" s="2" t="str">
        <x:v>https://brasil.mapbiomas.org/codigos-de-legenda/</x:v>
      </x:c>
      <x:c r="B31" s="2"/>
      <x:c r="C31" s="2"/>
      <x:c r="D31" s="2"/>
      <x:c r="E31" s="2"/>
      <x:c r="F31" s="2"/>
    </x:row>
    <x:row r="32" ht="22" customHeight="1">
      <x:c r="A32" s="2" t="str">
        <x:v>Raster utilizado: mapbiomas_c11_30m_cmma_2025_epsg10857.tif</x:v>
      </x:c>
      <x:c r="B32" s="2"/>
      <x:c r="C32" s="2"/>
      <x:c r="D32" s="2"/>
      <x:c r="E32" s="2"/>
      <x:c r="F32" s="2"/>
    </x:row>
    <x:row r="33" ht="22" customHeight="1">
      <x:c r="A33" s="2" t="str">
        <x:v>SHA-256: 625b4611f49acfa0708e27a65d9f8e1582cd8094b142e94f8aa4ae77fca81863</x:v>
      </x:c>
      <x:c r="B33" s="2"/>
      <x:c r="C33" s="2"/>
      <x:c r="D33" s="2"/>
      <x:c r="E33" s="2"/>
      <x:c r="F33" s="2"/>
    </x:row>
    <x:row r="34" ht="22" customHeight="1">
      <x:c r="A34" s="2" t="str">
        <x:v>Máscara: mascara_dominio_simulavel_cmma_2025_epsg10857.tif</x:v>
      </x:c>
      <x:c r="B34" s="2"/>
      <x:c r="C34" s="2"/>
      <x:c r="D34" s="2"/>
      <x:c r="E34" s="2"/>
      <x:c r="F34" s="2"/>
    </x:row>
    <x:row r="35" ht="22" customHeight="1">
      <x:c r="A35" s="2" t="str">
        <x:v>SHA-256: 218630d9346802f7bac16dd002da17109b3303bed8b8bd0151a7d180ecb8e311</x:v>
      </x:c>
      <x:c r="B35" s="2"/>
      <x:c r="C35" s="2"/>
      <x:c r="D35" s="2"/>
      <x:c r="E35" s="2"/>
      <x:c r="F35" s="2"/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32" t="str">
        <x:v>Interpretação e uso no artigo</x:v>
      </x:c>
      <x:c r="B37" s="2"/>
      <x:c r="C37" s="2"/>
      <x:c r="D37" s="2"/>
      <x:c r="E37" s="2"/>
      <x:c r="F37" s="2"/>
    </x:row>
    <x:row r="38" ht="22" customHeight="1">
      <x:c r="A38" s="2" t="str">
        <x:v>Cobertura mapeada em 2025: 6.782,8977 km². Cobertura inicial nas simulações: 6.758,8650 km².</x:v>
      </x:c>
      <x:c r="B38" s="2"/>
      <x:c r="C38" s="2"/>
      <x:c r="D38" s="2"/>
      <x:c r="E38" s="2"/>
      <x:c r="F38" s="2"/>
    </x:row>
    <x:row r="39" ht="22" customHeight="1">
      <x:c r="A39" s="2" t="str">
        <x:v>A diferença de 24,0327 km² fica fora da máscara com dados válidos e não entra nas simulações.</x:v>
      </x:c>
      <x:c r="B39" s="2"/>
      <x:c r="C39" s="2"/>
      <x:c r="D39" s="2"/>
      <x:c r="E39" s="2"/>
      <x:c r="F39" s="2"/>
    </x:row>
    <x:row r="40" ht="22" customHeight="1">
      <x:c r="A40" s="2" t="str">
        <x:v>A área municipal representa somente o mangue dentro do recorte, e não todo o mangue do município.</x:v>
      </x:c>
      <x:c r="B40" s="2"/>
      <x:c r="C40" s="2"/>
      <x:c r="D40" s="2"/>
      <x:c r="E40" s="2"/>
      <x:c r="F40" s="2"/>
    </x:row>
    <x:row r="41" ht="22" customHeight="1">
      <x:c r="A41" s="2" t="str">
        <x:v>A coluna Participação usa o total do recorte, incluindo a parcela sem correspondência municipal.</x:v>
      </x:c>
      <x:c r="B41" s="2"/>
      <x:c r="C41" s="2"/>
      <x:c r="D41" s="2"/>
      <x:c r="E41" s="2"/>
      <x:c r="F41" s="2"/>
    </x:row>
    <x:row r="42" ht="22" customHeight="1">
      <x:c r="A42" s="2"/>
      <x:c r="B42" s="2"/>
      <x:c r="C42" s="2"/>
      <x:c r="D42" s="2"/>
      <x:c r="E42" s="2"/>
      <x:c r="F42" s="2"/>
    </x:row>
    <x:row r="43" ht="22" customHeight="1">
      <x:c r="A43" s="2" t="str">
        <x:v>Preparação: 22/10/2026. Material suplementar para o artigo de aplicação do BR-MANGUE Studio à CMMA.</x:v>
      </x:c>
      <x:c r="B43" s="2"/>
      <x:c r="C43" s="2"/>
      <x:c r="D43" s="2"/>
      <x:c r="E43" s="2"/>
      <x:c r="F43" s="2"/>
    </x:row>
    <x:row r="44" ht="22" customHeight="1">
      <x:c r="A44" s="2"/>
      <x:c r="B44" s="2"/>
      <x:c r="C44" s="2"/>
      <x:c r="D44" s="2"/>
      <x:c r="E44" s="2"/>
      <x:c r="F44" s="2"/>
    </x:row>
    <x:row r="45" ht="22" customHeight="1">
      <x:c r="A45" s="2"/>
      <x:c r="B45" s="2"/>
      <x:c r="C45" s="2"/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7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5" customHeight="1">
      <x:c r="A1" s="6" t="str">
        <x:v>Código IBGE</x:v>
      </x:c>
      <x:c r="B1" s="6" t="str">
        <x:v>Município</x:v>
      </x:c>
      <x:c r="C1" s="6" t="str">
        <x:v>UF</x:v>
      </x:c>
      <x:c r="D1" s="6" t="str">
        <x:v>Pixels de mangue no recorte</x:v>
      </x:c>
      <x:c r="E1" s="6" t="str">
        <x:v>Mangue no recorte (km²)</x:v>
      </x:c>
      <x:c r="F1" s="6" t="str">
        <x:v>Mangue no recorte (ha)</x:v>
      </x:c>
      <x:c r="G1" s="6" t="str">
        <x:v>Participação no total do recorte</x:v>
      </x:c>
      <x:c r="H1" s="6" t="str">
        <x:v>Pixels de mangue simulável</x:v>
      </x:c>
      <x:c r="I1" s="6" t="str">
        <x:v>Mangue simulável (km²)</x:v>
      </x:c>
      <x:c r="J1" s="6" t="str">
        <x:v>Mangue fora do domínio (km²)</x:v>
      </x:c>
    </x:row>
    <x:row r="2" ht="21" customHeight="1">
      <x:c r="A2" s="12" t="str">
        <x:v>2100204</x:v>
      </x:c>
      <x:c r="B2" s="12" t="str">
        <x:v>Alcântara</x:v>
      </x:c>
      <x:c r="C2" s="12" t="str">
        <x:v>MA</x:v>
      </x:c>
      <x:c r="D2" s="13" t="n">
        <x:v>244506</x:v>
      </x:c>
      <x:c r="E2" s="14" t="n">
        <x:f>D2*'Resumo e método'!$B$20</x:f>
        <x:v>220.0554</x:v>
      </x:c>
      <x:c r="F2" s="15" t="n">
        <x:f>E2*100</x:f>
        <x:v>22005.54</x:v>
      </x:c>
      <x:c r="G2" s="16" t="n">
        <x:f>E2/'Resumo e método'!$C$9</x:f>
        <x:v>0.0324426830143701</x:v>
      </x:c>
      <x:c r="H2" s="13" t="n">
        <x:v>244506</x:v>
      </x:c>
      <x:c r="I2" s="14" t="n">
        <x:f>H2*'Resumo e método'!$B$20</x:f>
        <x:v>220.0554</x:v>
      </x:c>
      <x:c r="J2" s="14" t="n">
        <x:f>E2-I2</x:f>
        <x:v>0</x:v>
      </x:c>
    </x:row>
    <x:row r="3" ht="21" customHeight="1">
      <x:c r="A3" s="2" t="str">
        <x:v>2100709</x:v>
      </x:c>
      <x:c r="B3" s="2" t="str">
        <x:v>Anajatuba</x:v>
      </x:c>
      <x:c r="C3" s="2" t="str">
        <x:v>MA</x:v>
      </x:c>
      <x:c r="D3" s="8" t="n">
        <x:v>50979</x:v>
      </x:c>
      <x:c r="E3" s="9" t="n">
        <x:f>D3*'Resumo e método'!$B$20</x:f>
        <x:v>45.881099999999996</x:v>
      </x:c>
      <x:c r="F3" s="10" t="n">
        <x:f>E3*100</x:f>
        <x:v>4588.11</x:v>
      </x:c>
      <x:c r="G3" s="11" t="n">
        <x:f>E3/'Resumo e método'!$C$9</x:f>
        <x:v>0.00676423293248253</x:v>
      </x:c>
      <x:c r="H3" s="8" t="n">
        <x:v>50979</x:v>
      </x:c>
      <x:c r="I3" s="9" t="n">
        <x:f>H3*'Resumo e método'!$B$20</x:f>
        <x:v>45.881099999999996</x:v>
      </x:c>
      <x:c r="J3" s="9" t="n">
        <x:f>E3-I3</x:f>
        <x:v>0</x:v>
      </x:c>
    </x:row>
    <x:row r="4" ht="21" customHeight="1">
      <x:c r="A4" s="12" t="str">
        <x:v>2100832</x:v>
      </x:c>
      <x:c r="B4" s="12" t="str">
        <x:v>Apicum-Açu</x:v>
      </x:c>
      <x:c r="C4" s="12" t="str">
        <x:v>MA</x:v>
      </x:c>
      <x:c r="D4" s="13" t="n">
        <x:v>162220</x:v>
      </x:c>
      <x:c r="E4" s="14" t="n">
        <x:f>D4*'Resumo e método'!$B$20</x:f>
        <x:v>145.998</x:v>
      </x:c>
      <x:c r="F4" s="15" t="n">
        <x:f>E4*100</x:f>
        <x:v>14599.8</x:v>
      </x:c>
      <x:c r="G4" s="16" t="n">
        <x:f>E4/'Resumo e método'!$C$9</x:f>
        <x:v>0.02152442900620483</x:v>
      </x:c>
      <x:c r="H4" s="13" t="n">
        <x:v>161230</x:v>
      </x:c>
      <x:c r="I4" s="14" t="n">
        <x:f>H4*'Resumo e método'!$B$20</x:f>
        <x:v>145.107</x:v>
      </x:c>
      <x:c r="J4" s="14" t="n">
        <x:f>E4-I4</x:f>
        <x:v>0.8909999999999911</x:v>
      </x:c>
    </x:row>
    <x:row r="5" ht="21" customHeight="1">
      <x:c r="A5" s="2" t="str">
        <x:v>2101004</x:v>
      </x:c>
      <x:c r="B5" s="2" t="str">
        <x:v>Arari</x:v>
      </x:c>
      <x:c r="C5" s="2" t="str">
        <x:v>MA</x:v>
      </x:c>
      <x:c r="D5" s="8" t="n">
        <x:v>5987</x:v>
      </x:c>
      <x:c r="E5" s="9" t="n">
        <x:f>D5*'Resumo e método'!$B$20</x:f>
        <x:v>5.3883</x:v>
      </x:c>
      <x:c r="F5" s="10" t="n">
        <x:f>E5*100</x:f>
        <x:v>538.83</x:v>
      </x:c>
      <x:c r="G5" s="11" t="n">
        <x:f>E5/'Resumo e método'!$C$9</x:f>
        <x:v>0.0007943949972885484</x:v>
      </x:c>
      <x:c r="H5" s="8" t="n">
        <x:v>5987</x:v>
      </x:c>
      <x:c r="I5" s="9" t="n">
        <x:f>H5*'Resumo e método'!$B$20</x:f>
        <x:v>5.3883</x:v>
      </x:c>
      <x:c r="J5" s="9" t="n">
        <x:f>E5-I5</x:f>
        <x:v>0</x:v>
      </x:c>
    </x:row>
    <x:row r="6" ht="21" customHeight="1">
      <x:c r="A6" s="12" t="str">
        <x:v>2101103</x:v>
      </x:c>
      <x:c r="B6" s="12" t="str">
        <x:v>Axixá</x:v>
      </x:c>
      <x:c r="C6" s="12" t="str">
        <x:v>MA</x:v>
      </x:c>
      <x:c r="D6" s="13" t="n">
        <x:v>31936</x:v>
      </x:c>
      <x:c r="E6" s="14" t="n">
        <x:f>D6*'Resumo e método'!$B$20</x:f>
        <x:v>28.7424</x:v>
      </x:c>
      <x:c r="F6" s="15" t="n">
        <x:f>E6*100</x:f>
        <x:v>2874.24</x:v>
      </x:c>
      <x:c r="G6" s="16" t="n">
        <x:f>E6/'Resumo e método'!$C$9</x:f>
        <x:v>0.004237480981026738</x:v>
      </x:c>
      <x:c r="H6" s="13" t="n">
        <x:v>31936</x:v>
      </x:c>
      <x:c r="I6" s="14" t="n">
        <x:f>H6*'Resumo e método'!$B$20</x:f>
        <x:v>28.7424</x:v>
      </x:c>
      <x:c r="J6" s="14" t="n">
        <x:f>E6-I6</x:f>
        <x:v>0</x:v>
      </x:c>
    </x:row>
    <x:row r="7" ht="21" customHeight="1">
      <x:c r="A7" s="2" t="str">
        <x:v>2101251</x:v>
      </x:c>
      <x:c r="B7" s="2" t="str">
        <x:v>Bacabeira</x:v>
      </x:c>
      <x:c r="C7" s="2" t="str">
        <x:v>MA</x:v>
      </x:c>
      <x:c r="D7" s="8" t="n">
        <x:v>146008</x:v>
      </x:c>
      <x:c r="E7" s="9" t="n">
        <x:f>D7*'Resumo e método'!$B$20</x:f>
        <x:v>131.4072</x:v>
      </x:c>
      <x:c r="F7" s="10" t="n">
        <x:f>E7*100</x:f>
        <x:v>13140.72</x:v>
      </x:c>
      <x:c r="G7" s="11" t="n">
        <x:f>E7/'Resumo e método'!$C$9</x:f>
        <x:v>0.019373312972123996</x:v>
      </x:c>
      <x:c r="H7" s="8" t="n">
        <x:v>146008</x:v>
      </x:c>
      <x:c r="I7" s="9" t="n">
        <x:f>H7*'Resumo e método'!$B$20</x:f>
        <x:v>131.4072</x:v>
      </x:c>
      <x:c r="J7" s="9" t="n">
        <x:f>E7-I7</x:f>
        <x:v>0</x:v>
      </x:c>
    </x:row>
    <x:row r="8" ht="21" customHeight="1">
      <x:c r="A8" s="12" t="str">
        <x:v>2101301</x:v>
      </x:c>
      <x:c r="B8" s="12" t="str">
        <x:v>Bacuri</x:v>
      </x:c>
      <x:c r="C8" s="12" t="str">
        <x:v>MA</x:v>
      </x:c>
      <x:c r="D8" s="13" t="n">
        <x:v>263328</x:v>
      </x:c>
      <x:c r="E8" s="14" t="n">
        <x:f>D8*'Resumo e método'!$B$20</x:f>
        <x:v>236.99519999999998</x:v>
      </x:c>
      <x:c r="F8" s="15" t="n">
        <x:f>E8*100</x:f>
        <x:v>23699.519999999997</x:v>
      </x:c>
      <x:c r="G8" s="16" t="n">
        <x:f>E8/'Resumo e método'!$C$9</x:f>
        <x:v>0.03494011121529963</x:v>
      </x:c>
      <x:c r="H8" s="13" t="n">
        <x:v>263266</x:v>
      </x:c>
      <x:c r="I8" s="14" t="n">
        <x:f>H8*'Resumo e método'!$B$20</x:f>
        <x:v>236.9394</x:v>
      </x:c>
      <x:c r="J8" s="14" t="n">
        <x:f>E8-I8</x:f>
        <x:v>0.055799999999976535</x:v>
      </x:c>
    </x:row>
    <x:row r="9" ht="21" customHeight="1">
      <x:c r="A9" s="2" t="str">
        <x:v>2101350</x:v>
      </x:c>
      <x:c r="B9" s="2" t="str">
        <x:v>Bacurituba</x:v>
      </x:c>
      <x:c r="C9" s="2" t="str">
        <x:v>MA</x:v>
      </x:c>
      <x:c r="D9" s="8" t="n">
        <x:v>53349</x:v>
      </x:c>
      <x:c r="E9" s="9" t="n">
        <x:f>D9*'Resumo e método'!$B$20</x:f>
        <x:v>48.0141</x:v>
      </x:c>
      <x:c r="F9" s="10" t="n">
        <x:f>E9*100</x:f>
        <x:v>4801.41</x:v>
      </x:c>
      <x:c r="G9" s="11" t="n">
        <x:f>E9/'Resumo e método'!$C$9</x:f>
        <x:v>0.007078700302379617</x:v>
      </x:c>
      <x:c r="H9" s="8" t="n">
        <x:v>53349</x:v>
      </x:c>
      <x:c r="I9" s="9" t="n">
        <x:f>H9*'Resumo e método'!$B$20</x:f>
        <x:v>48.0141</x:v>
      </x:c>
      <x:c r="J9" s="9" t="n">
        <x:f>E9-I9</x:f>
        <x:v>0</x:v>
      </x:c>
    </x:row>
    <x:row r="10" ht="21" customHeight="1">
      <x:c r="A10" s="12" t="str">
        <x:v>2101905</x:v>
      </x:c>
      <x:c r="B10" s="12" t="str">
        <x:v>Bequimão</x:v>
      </x:c>
      <x:c r="C10" s="12" t="str">
        <x:v>MA</x:v>
      </x:c>
      <x:c r="D10" s="13" t="n">
        <x:v>103716</x:v>
      </x:c>
      <x:c r="E10" s="14" t="n">
        <x:f>D10*'Resumo e método'!$B$20</x:f>
        <x:v>93.3444</x:v>
      </x:c>
      <x:c r="F10" s="15" t="n">
        <x:f>E10*100</x:f>
        <x:v>9334.439999999999</x:v>
      </x:c>
      <x:c r="G10" s="16" t="n">
        <x:f>E10/'Resumo e método'!$C$9</x:f>
        <x:v>0.013761729002635557</x:v>
      </x:c>
      <x:c r="H10" s="13" t="n">
        <x:v>103716</x:v>
      </x:c>
      <x:c r="I10" s="14" t="n">
        <x:f>H10*'Resumo e método'!$B$20</x:f>
        <x:v>93.3444</x:v>
      </x:c>
      <x:c r="J10" s="14" t="n">
        <x:f>E10-I10</x:f>
        <x:v>0</x:v>
      </x:c>
    </x:row>
    <x:row r="11" ht="21" customHeight="1">
      <x:c r="A11" s="2" t="str">
        <x:v>2102408</x:v>
      </x:c>
      <x:c r="B11" s="2" t="str">
        <x:v>Cajapió</x:v>
      </x:c>
      <x:c r="C11" s="2" t="str">
        <x:v>MA</x:v>
      </x:c>
      <x:c r="D11" s="8" t="n">
        <x:v>349951</x:v>
      </x:c>
      <x:c r="E11" s="9" t="n">
        <x:f>D11*'Resumo e método'!$B$20</x:f>
        <x:v>314.9559</x:v>
      </x:c>
      <x:c r="F11" s="10" t="n">
        <x:f>E11*100</x:f>
        <x:v>31495.59</x:v>
      </x:c>
      <x:c r="G11" s="11" t="n">
        <x:f>E11/'Resumo e método'!$C$9</x:f>
        <x:v>0.04643382724171117</x:v>
      </x:c>
      <x:c r="H11" s="8" t="n">
        <x:v>349951</x:v>
      </x:c>
      <x:c r="I11" s="9" t="n">
        <x:f>H11*'Resumo e método'!$B$20</x:f>
        <x:v>314.9559</x:v>
      </x:c>
      <x:c r="J11" s="9" t="n">
        <x:f>E11-I11</x:f>
        <x:v>0</x:v>
      </x:c>
    </x:row>
    <x:row r="12" ht="21" customHeight="1">
      <x:c r="A12" s="12" t="str">
        <x:v>2102903</x:v>
      </x:c>
      <x:c r="B12" s="12" t="str">
        <x:v>Carutapera</x:v>
      </x:c>
      <x:c r="C12" s="12" t="str">
        <x:v>MA</x:v>
      </x:c>
      <x:c r="D12" s="13" t="n">
        <x:v>302173</x:v>
      </x:c>
      <x:c r="E12" s="14" t="n">
        <x:f>D12*'Resumo e método'!$B$20</x:f>
        <x:v>271.9557</x:v>
      </x:c>
      <x:c r="F12" s="15" t="n">
        <x:f>E12*100</x:f>
        <x:v>27195.57</x:v>
      </x:c>
      <x:c r="G12" s="16" t="n">
        <x:f>E12/'Resumo e método'!$C$9</x:f>
        <x:v>0.040094324288570654</x:v>
      </x:c>
      <x:c r="H12" s="13" t="n">
        <x:v>301897</x:v>
      </x:c>
      <x:c r="I12" s="14" t="n">
        <x:f>H12*'Resumo e método'!$B$20</x:f>
        <x:v>271.7073</x:v>
      </x:c>
      <x:c r="J12" s="14" t="n">
        <x:f>E12-I12</x:f>
        <x:v>0.24840000000000373</x:v>
      </x:c>
    </x:row>
    <x:row r="13" ht="21" customHeight="1">
      <x:c r="A13" s="2" t="str">
        <x:v>2103109</x:v>
      </x:c>
      <x:c r="B13" s="2" t="str">
        <x:v>Cedral</x:v>
      </x:c>
      <x:c r="C13" s="2" t="str">
        <x:v>MA</x:v>
      </x:c>
      <x:c r="D13" s="8" t="n">
        <x:v>69041</x:v>
      </x:c>
      <x:c r="E13" s="9" t="n">
        <x:f>D13*'Resumo e método'!$B$20</x:f>
        <x:v>62.1369</x:v>
      </x:c>
      <x:c r="F13" s="10" t="n">
        <x:f>E13*100</x:f>
        <x:v>6213.69</x:v>
      </x:c>
      <x:c r="G13" s="11" t="n">
        <x:f>E13/'Resumo e método'!$C$9</x:f>
        <x:v>0.00916081927639864</x:v>
      </x:c>
      <x:c r="H13" s="8" t="n">
        <x:v>69040</x:v>
      </x:c>
      <x:c r="I13" s="9" t="n">
        <x:f>H13*'Resumo e método'!$B$20</x:f>
        <x:v>62.135999999999996</x:v>
      </x:c>
      <x:c r="J13" s="9" t="n">
        <x:f>E13-I13</x:f>
        <x:v>0.0009000000000014552</x:v>
      </x:c>
    </x:row>
    <x:row r="14" ht="21" customHeight="1">
      <x:c r="A14" s="12" t="str">
        <x:v>2103125</x:v>
      </x:c>
      <x:c r="B14" s="12" t="str">
        <x:v>Central do Maranhão</x:v>
      </x:c>
      <x:c r="C14" s="12" t="str">
        <x:v>MA</x:v>
      </x:c>
      <x:c r="D14" s="13" t="n">
        <x:v>25394</x:v>
      </x:c>
      <x:c r="E14" s="14" t="n">
        <x:f>D14*'Resumo e método'!$B$20</x:f>
        <x:v>22.854599999999998</x:v>
      </x:c>
      <x:c r="F14" s="15" t="n">
        <x:f>E14*100</x:f>
        <x:v>2285.4599999999996</x:v>
      </x:c>
      <x:c r="G14" s="16" t="n">
        <x:f>E14/'Resumo e método'!$C$9</x:f>
        <x:v>0.0033694448907876057</x:v>
      </x:c>
      <x:c r="H14" s="13" t="n">
        <x:v>25394</x:v>
      </x:c>
      <x:c r="I14" s="14" t="n">
        <x:f>H14*'Resumo e método'!$B$20</x:f>
        <x:v>22.854599999999998</x:v>
      </x:c>
      <x:c r="J14" s="14" t="n">
        <x:f>E14-I14</x:f>
        <x:v>0</x:v>
      </x:c>
    </x:row>
    <x:row r="15" ht="21" customHeight="1">
      <x:c r="A15" s="2" t="str">
        <x:v>2103703</x:v>
      </x:c>
      <x:c r="B15" s="2" t="str">
        <x:v>Cururupu</x:v>
      </x:c>
      <x:c r="C15" s="2" t="str">
        <x:v>MA</x:v>
      </x:c>
      <x:c r="D15" s="8" t="n">
        <x:v>590797</x:v>
      </x:c>
      <x:c r="E15" s="9" t="n">
        <x:f>D15*'Resumo e método'!$B$20</x:f>
        <x:v>531.7173</x:v>
      </x:c>
      <x:c r="F15" s="10" t="n">
        <x:f>E15*100</x:f>
        <x:v>53171.73</x:v>
      </x:c>
      <x:c r="G15" s="11" t="n">
        <x:f>E15/'Resumo e método'!$C$9</x:f>
        <x:v>0.07839087710256933</x:v>
      </x:c>
      <x:c r="H15" s="8" t="n">
        <x:v>589801</x:v>
      </x:c>
      <x:c r="I15" s="9" t="n">
        <x:f>H15*'Resumo e método'!$B$20</x:f>
        <x:v>530.8208999999999</x:v>
      </x:c>
      <x:c r="J15" s="9" t="n">
        <x:f>E15-I15</x:f>
        <x:v>0.8964000000000851</x:v>
      </x:c>
    </x:row>
    <x:row r="16" ht="21" customHeight="1">
      <x:c r="A16" s="12" t="str">
        <x:v>2102606</x:v>
      </x:c>
      <x:c r="B16" s="12" t="str">
        <x:v>Cândido Mendes</x:v>
      </x:c>
      <x:c r="C16" s="12" t="str">
        <x:v>MA</x:v>
      </x:c>
      <x:c r="D16" s="13" t="n">
        <x:v>333062</x:v>
      </x:c>
      <x:c r="E16" s="14" t="n">
        <x:f>D16*'Resumo e método'!$B$20</x:f>
        <x:v>299.75579999999997</x:v>
      </x:c>
      <x:c r="F16" s="15" t="n">
        <x:f>E16*100</x:f>
        <x:v>29975.579999999998</x:v>
      </x:c>
      <x:c r="G16" s="16" t="n">
        <x:f>E16/'Resumo e método'!$C$9</x:f>
        <x:v>0.04419288234289602</x:v>
      </x:c>
      <x:c r="H16" s="13" t="n">
        <x:v>332962</x:v>
      </x:c>
      <x:c r="I16" s="14" t="n">
        <x:f>H16*'Resumo e método'!$B$20</x:f>
        <x:v>299.6658</x:v>
      </x:c>
      <x:c r="J16" s="14" t="n">
        <x:f>E16-I16</x:f>
        <x:v>0.08999999999997499</x:v>
      </x:c>
    </x:row>
    <x:row r="17" ht="21" customHeight="1">
      <x:c r="A17" s="2" t="str">
        <x:v>2104305</x:v>
      </x:c>
      <x:c r="B17" s="2" t="str">
        <x:v>Godofredo Viana</x:v>
      </x:c>
      <x:c r="C17" s="2" t="str">
        <x:v>MA</x:v>
      </x:c>
      <x:c r="D17" s="8" t="n">
        <x:v>302394</x:v>
      </x:c>
      <x:c r="E17" s="9" t="n">
        <x:f>D17*'Resumo e método'!$B$20</x:f>
        <x:v>272.1546</x:v>
      </x:c>
      <x:c r="F17" s="10" t="n">
        <x:f>E17*100</x:f>
        <x:v>27215.460000000003</x:v>
      </x:c>
      <x:c r="G17" s="11" t="n">
        <x:f>E17/'Resumo e método'!$C$9</x:f>
        <x:v>0.04012364803909693</x:v>
      </x:c>
      <x:c r="H17" s="8" t="n">
        <x:v>301609</x:v>
      </x:c>
      <x:c r="I17" s="9" t="n">
        <x:f>H17*'Resumo e método'!$B$20</x:f>
        <x:v>271.4481</x:v>
      </x:c>
      <x:c r="J17" s="9" t="n">
        <x:f>E17-I17</x:f>
        <x:v>0.7065000000000055</x:v>
      </x:c>
    </x:row>
    <x:row r="18" ht="21" customHeight="1">
      <x:c r="A18" s="12" t="str">
        <x:v>2104909</x:v>
      </x:c>
      <x:c r="B18" s="12" t="str">
        <x:v>Guimarães</x:v>
      </x:c>
      <x:c r="C18" s="12" t="str">
        <x:v>MA</x:v>
      </x:c>
      <x:c r="D18" s="13" t="n">
        <x:v>123495</x:v>
      </x:c>
      <x:c r="E18" s="14" t="n">
        <x:f>D18*'Resumo e método'!$B$20</x:f>
        <x:v>111.1455</x:v>
      </x:c>
      <x:c r="F18" s="15" t="n">
        <x:f>E18*100</x:f>
        <x:v>11114.55</x:v>
      </x:c>
      <x:c r="G18" s="16" t="n">
        <x:f>E18/'Resumo e método'!$C$9</x:f>
        <x:v>0.016386138331409603</x:v>
      </x:c>
      <x:c r="H18" s="13" t="n">
        <x:v>123494</x:v>
      </x:c>
      <x:c r="I18" s="14" t="n">
        <x:f>H18*'Resumo e método'!$B$20</x:f>
        <x:v>111.1446</x:v>
      </x:c>
      <x:c r="J18" s="14" t="n">
        <x:f>E18-I18</x:f>
        <x:v>0.0009000000000014552</x:v>
      </x:c>
    </x:row>
    <x:row r="19" ht="21" customHeight="1">
      <x:c r="A19" s="2" t="str">
        <x:v>2105005</x:v>
      </x:c>
      <x:c r="B19" s="2" t="str">
        <x:v>Humberto de Campos</x:v>
      </x:c>
      <x:c r="C19" s="2" t="str">
        <x:v>MA</x:v>
      </x:c>
      <x:c r="D19" s="8" t="n">
        <x:v>334896</x:v>
      </x:c>
      <x:c r="E19" s="9" t="n">
        <x:f>D19*'Resumo e método'!$B$20</x:f>
        <x:v>301.4064</x:v>
      </x:c>
      <x:c r="F19" s="10" t="n">
        <x:f>E19*100</x:f>
        <x:v>30140.640000000003</x:v>
      </x:c>
      <x:c r="G19" s="11" t="n">
        <x:f>E19/'Resumo e método'!$C$9</x:f>
        <x:v>0.04443622966626787</x:v>
      </x:c>
      <x:c r="H19" s="8" t="n">
        <x:v>333679</x:v>
      </x:c>
      <x:c r="I19" s="9" t="n">
        <x:f>H19*'Resumo e método'!$B$20</x:f>
        <x:v>300.3111</x:v>
      </x:c>
      <x:c r="J19" s="9" t="n">
        <x:f>E19-I19</x:f>
        <x:v>1.0953000000000088</x:v>
      </x:c>
    </x:row>
    <x:row r="20" ht="21" customHeight="1">
      <x:c r="A20" s="12" t="str">
        <x:v>2105104</x:v>
      </x:c>
      <x:c r="B20" s="12" t="str">
        <x:v>Icatu</x:v>
      </x:c>
      <x:c r="C20" s="12" t="str">
        <x:v>MA</x:v>
      </x:c>
      <x:c r="D20" s="13" t="n">
        <x:v>251018</x:v>
      </x:c>
      <x:c r="E20" s="14" t="n">
        <x:f>D20*'Resumo e método'!$B$20</x:f>
        <x:v>225.9162</x:v>
      </x:c>
      <x:c r="F20" s="15" t="n">
        <x:f>E20*100</x:f>
        <x:v>22591.62</x:v>
      </x:c>
      <x:c r="G20" s="16" t="n">
        <x:f>E20/'Resumo e método'!$C$9</x:f>
        <x:v>0.03330673850499029</x:v>
      </x:c>
      <x:c r="H20" s="13" t="n">
        <x:v>250562</x:v>
      </x:c>
      <x:c r="I20" s="14" t="n">
        <x:f>H20*'Resumo e método'!$B$20</x:f>
        <x:v>225.5058</x:v>
      </x:c>
      <x:c r="J20" s="14" t="n">
        <x:f>E20-I20</x:f>
        <x:v>0.41040000000000987</x:v>
      </x:c>
    </x:row>
    <x:row r="21" ht="21" customHeight="1">
      <x:c r="A21" s="2" t="str">
        <x:v>2106201</x:v>
      </x:c>
      <x:c r="B21" s="2" t="str">
        <x:v>Luís Domingues</x:v>
      </x:c>
      <x:c r="C21" s="2" t="str">
        <x:v>MA</x:v>
      </x:c>
      <x:c r="D21" s="8" t="n">
        <x:v>88695</x:v>
      </x:c>
      <x:c r="E21" s="9" t="n">
        <x:f>D21*'Resumo e método'!$B$20</x:f>
        <x:v>79.82549999999999</x:v>
      </x:c>
      <x:c r="F21" s="10" t="n">
        <x:f>E21*100</x:f>
        <x:v>7982.549999999999</x:v>
      </x:c>
      <x:c r="G21" s="11" t="n">
        <x:f>E21/'Resumo e método'!$C$9</x:f>
        <x:v>0.011768642773427058</x:v>
      </x:c>
      <x:c r="H21" s="8" t="n">
        <x:v>88628</x:v>
      </x:c>
      <x:c r="I21" s="9" t="n">
        <x:f>H21*'Resumo e método'!$B$20</x:f>
        <x:v>79.7652</x:v>
      </x:c>
      <x:c r="J21" s="9" t="n">
        <x:f>E21-I21</x:f>
        <x:v>0.06029999999999802</x:v>
      </x:c>
    </x:row>
    <x:row r="22" ht="21" customHeight="1">
      <x:c r="A22" s="12" t="str">
        <x:v>2106805</x:v>
      </x:c>
      <x:c r="B22" s="12" t="str">
        <x:v>Mirinzal</x:v>
      </x:c>
      <x:c r="C22" s="12" t="str">
        <x:v>MA</x:v>
      </x:c>
      <x:c r="D22" s="13" t="n">
        <x:v>3666</x:v>
      </x:c>
      <x:c r="E22" s="14" t="n">
        <x:f>D22*'Resumo e método'!$B$20</x:f>
        <x:v>3.2994</x:v>
      </x:c>
      <x:c r="F22" s="15" t="n">
        <x:f>E22*100</x:f>
        <x:v>329.94</x:v>
      </x:c>
      <x:c r="G22" s="16" t="n">
        <x:f>E22/'Resumo e método'!$C$9</x:f>
        <x:v>0.00048642927343574716</x:v>
      </x:c>
      <x:c r="H22" s="13" t="n">
        <x:v>3666</x:v>
      </x:c>
      <x:c r="I22" s="14" t="n">
        <x:f>H22*'Resumo e método'!$B$20</x:f>
        <x:v>3.2994</x:v>
      </x:c>
      <x:c r="J22" s="14" t="n">
        <x:f>E22-I22</x:f>
        <x:v>0</x:v>
      </x:c>
    </x:row>
    <x:row r="23" ht="21" customHeight="1">
      <x:c r="A23" s="2" t="str">
        <x:v>2107100</x:v>
      </x:c>
      <x:c r="B23" s="2" t="str">
        <x:v>Morros</x:v>
      </x:c>
      <x:c r="C23" s="2" t="str">
        <x:v>MA</x:v>
      </x:c>
      <x:c r="D23" s="8" t="n">
        <x:v>517</x:v>
      </x:c>
      <x:c r="E23" s="9" t="n">
        <x:f>D23*'Resumo e método'!$B$20</x:f>
        <x:v>0.4653</x:v>
      </x:c>
      <x:c r="F23" s="10" t="n">
        <x:f>E23*100</x:f>
        <x:v>46.53</x:v>
      </x:c>
      <x:c r="G23" s="11" t="n">
        <x:f>E23/'Resumo e método'!$C$9</x:f>
        <x:v>0.00006859900009991306</x:v>
      </x:c>
      <x:c r="H23" s="8" t="n">
        <x:v>517</x:v>
      </x:c>
      <x:c r="I23" s="9" t="n">
        <x:f>H23*'Resumo e método'!$B$20</x:f>
        <x:v>0.4653</x:v>
      </x:c>
      <x:c r="J23" s="9" t="n">
        <x:f>E23-I23</x:f>
        <x:v>0</x:v>
      </x:c>
    </x:row>
    <x:row r="24" ht="21" customHeight="1">
      <x:c r="A24" s="12" t="str">
        <x:v>2107506</x:v>
      </x:c>
      <x:c r="B24" s="12" t="str">
        <x:v>Paço do Lumiar</x:v>
      </x:c>
      <x:c r="C24" s="12" t="str">
        <x:v>MA</x:v>
      </x:c>
      <x:c r="D24" s="13" t="n">
        <x:v>18522</x:v>
      </x:c>
      <x:c r="E24" s="14" t="n">
        <x:f>D24*'Resumo e método'!$B$20</x:f>
        <x:v>16.6698</x:v>
      </x:c>
      <x:c r="F24" s="15" t="n">
        <x:f>E24*100</x:f>
        <x:v>1666.9799999999998</x:v>
      </x:c>
      <x:c r="G24" s="16" t="n">
        <x:f>E24/'Resumo e método'!$C$9</x:f>
        <x:v>0.002457622204740019</x:v>
      </x:c>
      <x:c r="H24" s="13" t="n">
        <x:v>18522</x:v>
      </x:c>
      <x:c r="I24" s="14" t="n">
        <x:f>H24*'Resumo e método'!$B$20</x:f>
        <x:v>16.6698</x:v>
      </x:c>
      <x:c r="J24" s="14" t="n">
        <x:f>E24-I24</x:f>
        <x:v>0</x:v>
      </x:c>
    </x:row>
    <x:row r="25" ht="21" customHeight="1">
      <x:c r="A25" s="2" t="str">
        <x:v>2108405</x:v>
      </x:c>
      <x:c r="B25" s="2" t="str">
        <x:v>Peri Mirim</x:v>
      </x:c>
      <x:c r="C25" s="2" t="str">
        <x:v>MA</x:v>
      </x:c>
      <x:c r="D25" s="8" t="n">
        <x:v>7654</x:v>
      </x:c>
      <x:c r="E25" s="9" t="n">
        <x:f>D25*'Resumo e método'!$B$20</x:f>
        <x:v>6.888599999999999</x:v>
      </x:c>
      <x:c r="F25" s="10" t="n">
        <x:f>E25*100</x:f>
        <x:v>688.8599999999999</x:v>
      </x:c>
      <x:c r="G25" s="11" t="n">
        <x:f>E25/'Resumo e método'!$C$9</x:f>
        <x:v>0.0010155836494482294</x:v>
      </x:c>
      <x:c r="H25" s="8" t="n">
        <x:v>7654</x:v>
      </x:c>
      <x:c r="I25" s="9" t="n">
        <x:f>H25*'Resumo e método'!$B$20</x:f>
        <x:v>6.888599999999999</x:v>
      </x:c>
      <x:c r="J25" s="9" t="n">
        <x:f>E25-I25</x:f>
        <x:v>0</x:v>
      </x:c>
    </x:row>
    <x:row r="26" ht="21" customHeight="1">
      <x:c r="A26" s="12" t="str">
        <x:v>2108603</x:v>
      </x:c>
      <x:c r="B26" s="12" t="str">
        <x:v>Pinheiro</x:v>
      </x:c>
      <x:c r="C26" s="12" t="str">
        <x:v>MA</x:v>
      </x:c>
      <x:c r="D26" s="13" t="n">
        <x:v>2385</x:v>
      </x:c>
      <x:c r="E26" s="14" t="n">
        <x:f>D26*'Resumo e método'!$B$20</x:f>
        <x:v>2.1465</x:v>
      </x:c>
      <x:c r="F26" s="15" t="n">
        <x:f>E26*100</x:f>
        <x:v>214.65</x:v>
      </x:c>
      <x:c r="G26" s="16" t="n">
        <x:f>E26/'Resumo e método'!$C$9</x:f>
        <x:v>0.0003164576697065622</x:v>
      </x:c>
      <x:c r="H26" s="13" t="n">
        <x:v>2385</x:v>
      </x:c>
      <x:c r="I26" s="14" t="n">
        <x:f>H26*'Resumo e método'!$B$20</x:f>
        <x:v>2.1465</x:v>
      </x:c>
      <x:c r="J26" s="14" t="n">
        <x:f>E26-I26</x:f>
        <x:v>0</x:v>
      </x:c>
    </x:row>
    <x:row r="27" ht="21" customHeight="1">
      <x:c r="A27" s="2" t="str">
        <x:v>2109056</x:v>
      </x:c>
      <x:c r="B27" s="2" t="str">
        <x:v>Porto Rico do Maranhão</x:v>
      </x:c>
      <x:c r="C27" s="2" t="str">
        <x:v>MA</x:v>
      </x:c>
      <x:c r="D27" s="8" t="n">
        <x:v>106326</x:v>
      </x:c>
      <x:c r="E27" s="9" t="n">
        <x:f>D27*'Resumo e método'!$B$20</x:f>
        <x:v>95.6934</x:v>
      </x:c>
      <x:c r="F27" s="10" t="n">
        <x:f>E27*100</x:f>
        <x:v>9569.34</x:v>
      </x:c>
      <x:c r="G27" s="11" t="n">
        <x:f>E27/'Resumo e método'!$C$9</x:f>
        <x:v>0.014108041169484248</x:v>
      </x:c>
      <x:c r="H27" s="8" t="n">
        <x:v>106318</x:v>
      </x:c>
      <x:c r="I27" s="9" t="n">
        <x:f>H27*'Resumo e método'!$B$20</x:f>
        <x:v>95.6862</x:v>
      </x:c>
      <x:c r="J27" s="9" t="n">
        <x:f>E27-I27</x:f>
        <x:v>0.007199999999997431</x:v>
      </x:c>
    </x:row>
    <x:row r="28" ht="21" customHeight="1">
      <x:c r="A28" s="12" t="str">
        <x:v>2109403</x:v>
      </x:c>
      <x:c r="B28" s="12" t="str">
        <x:v>Primeira Cruz</x:v>
      </x:c>
      <x:c r="C28" s="12" t="str">
        <x:v>MA</x:v>
      </x:c>
      <x:c r="D28" s="13" t="n">
        <x:v>196425</x:v>
      </x:c>
      <x:c r="E28" s="14" t="n">
        <x:f>D28*'Resumo e método'!$B$20</x:f>
        <x:v>176.7825</x:v>
      </x:c>
      <x:c r="F28" s="15" t="n">
        <x:f>E28*100</x:f>
        <x:v>17678.25</x:v>
      </x:c>
      <x:c r="G28" s="16" t="n">
        <x:f>E28/'Resumo e método'!$C$9</x:f>
        <x:v>0.02606297600507819</x:v>
      </x:c>
      <x:c r="H28" s="13" t="n">
        <x:v>196406</x:v>
      </x:c>
      <x:c r="I28" s="14" t="n">
        <x:f>H28*'Resumo e método'!$B$20</x:f>
        <x:v>176.7654</x:v>
      </x:c>
      <x:c r="J28" s="14" t="n">
        <x:f>E28-I28</x:f>
        <x:v>0.017099999999999227</x:v>
      </x:c>
    </x:row>
    <x:row r="29" ht="21" customHeight="1">
      <x:c r="A29" s="2" t="str">
        <x:v>2109452</x:v>
      </x:c>
      <x:c r="B29" s="2" t="str">
        <x:v>Raposa</x:v>
      </x:c>
      <x:c r="C29" s="2" t="str">
        <x:v>MA</x:v>
      </x:c>
      <x:c r="D29" s="8" t="n">
        <x:v>29959</x:v>
      </x:c>
      <x:c r="E29" s="9" t="n">
        <x:f>D29*'Resumo e método'!$B$20</x:f>
        <x:v>26.9631</x:v>
      </x:c>
      <x:c r="F29" s="10" t="n">
        <x:f>E29*100</x:f>
        <x:v>2696.31</x:v>
      </x:c>
      <x:c r="G29" s="11" t="n">
        <x:f>E29/'Resumo e método'!$C$9</x:f>
        <x:v>0.003975159466137902</x:v>
      </x:c>
      <x:c r="H29" s="8" t="n">
        <x:v>29893</x:v>
      </x:c>
      <x:c r="I29" s="9" t="n">
        <x:f>H29*'Resumo e método'!$B$20</x:f>
        <x:v>26.9037</x:v>
      </x:c>
      <x:c r="J29" s="9" t="n">
        <x:f>E29-I29</x:f>
        <x:v>0.05940000000000012</x:v>
      </x:c>
    </x:row>
    <x:row r="30" ht="21" customHeight="1">
      <x:c r="A30" s="12" t="str">
        <x:v>2109601</x:v>
      </x:c>
      <x:c r="B30" s="12" t="str">
        <x:v>Rosário</x:v>
      </x:c>
      <x:c r="C30" s="12" t="str">
        <x:v>MA</x:v>
      </x:c>
      <x:c r="D30" s="13" t="n">
        <x:v>136590</x:v>
      </x:c>
      <x:c r="E30" s="14" t="n">
        <x:f>D30*'Resumo e método'!$B$20</x:f>
        <x:v>122.931</x:v>
      </x:c>
      <x:c r="F30" s="15" t="n">
        <x:f>E30*100</x:f>
        <x:v>12293.1</x:v>
      </x:c>
      <x:c r="G30" s="16" t="n">
        <x:f>E30/'Resumo e método'!$C$9</x:f>
        <x:v>0.01812367006508148</x:v>
      </x:c>
      <x:c r="H30" s="13" t="n">
        <x:v>136590</x:v>
      </x:c>
      <x:c r="I30" s="14" t="n">
        <x:f>H30*'Resumo e método'!$B$20</x:f>
        <x:v>122.931</x:v>
      </x:c>
      <x:c r="J30" s="14" t="n">
        <x:f>E30-I30</x:f>
        <x:v>0</x:v>
      </x:c>
    </x:row>
    <x:row r="31" ht="21" customHeight="1">
      <x:c r="A31" s="2" t="str">
        <x:v>2110203</x:v>
      </x:c>
      <x:c r="B31" s="2" t="str">
        <x:v>Santa Rita</x:v>
      </x:c>
      <x:c r="C31" s="2" t="str">
        <x:v>MA</x:v>
      </x:c>
      <x:c r="D31" s="8" t="n">
        <x:v>3182</x:v>
      </x:c>
      <x:c r="E31" s="9" t="n">
        <x:f>D31*'Resumo e método'!$B$20</x:f>
        <x:v>2.8638</x:v>
      </x:c>
      <x:c r="F31" s="10" t="n">
        <x:f>E31*100</x:f>
        <x:v>286.38</x:v>
      </x:c>
      <x:c r="G31" s="11" t="n">
        <x:f>E31/'Resumo e método'!$C$9</x:f>
        <x:v>0.0004222089329166796</x:v>
      </x:c>
      <x:c r="H31" s="8" t="n">
        <x:v>3182</x:v>
      </x:c>
      <x:c r="I31" s="9" t="n">
        <x:f>H31*'Resumo e método'!$B$20</x:f>
        <x:v>2.8638</x:v>
      </x:c>
      <x:c r="J31" s="9" t="n">
        <x:f>E31-I31</x:f>
        <x:v>0</x:v>
      </x:c>
    </x:row>
    <x:row r="32" ht="21" customHeight="1">
      <x:c r="A32" s="12" t="str">
        <x:v>2110278</x:v>
      </x:c>
      <x:c r="B32" s="12" t="str">
        <x:v>Santo Amaro do Maranhão</x:v>
      </x:c>
      <x:c r="C32" s="12" t="str">
        <x:v>MA</x:v>
      </x:c>
      <x:c r="D32" s="13" t="n">
        <x:v>10464</x:v>
      </x:c>
      <x:c r="E32" s="14" t="n">
        <x:f>D32*'Resumo e método'!$B$20</x:f>
        <x:v>9.4176</x:v>
      </x:c>
      <x:c r="F32" s="15" t="n">
        <x:f>E32*100</x:f>
        <x:v>941.76</x:v>
      </x:c>
      <x:c r="G32" s="16" t="n">
        <x:f>E32/'Resumo e método'!$C$9</x:f>
        <x:v>0.0013884331470899233</x:v>
      </x:c>
      <x:c r="H32" s="13" t="n">
        <x:v>10464</x:v>
      </x:c>
      <x:c r="I32" s="14" t="n">
        <x:f>H32*'Resumo e método'!$B$20</x:f>
        <x:v>9.4176</x:v>
      </x:c>
      <x:c r="J32" s="14" t="n">
        <x:f>E32-I32</x:f>
        <x:v>0</x:v>
      </x:c>
    </x:row>
    <x:row r="33" ht="21" customHeight="1">
      <x:c r="A33" s="2" t="str">
        <x:v>2111789</x:v>
      </x:c>
      <x:c r="B33" s="2" t="str">
        <x:v>Serrano do Maranhão</x:v>
      </x:c>
      <x:c r="C33" s="2" t="str">
        <x:v>MA</x:v>
      </x:c>
      <x:c r="D33" s="8" t="n">
        <x:v>63766</x:v>
      </x:c>
      <x:c r="E33" s="9" t="n">
        <x:f>D33*'Resumo e método'!$B$20</x:f>
        <x:v>57.3894</x:v>
      </x:c>
      <x:c r="F33" s="10" t="n">
        <x:f>E33*100</x:f>
        <x:v>5738.9400000000005</x:v>
      </x:c>
      <x:c r="G33" s="11" t="n">
        <x:f>E33/'Resumo e método'!$C$9</x:f>
        <x:v>0.008460897176733186</x:v>
      </x:c>
      <x:c r="H33" s="8" t="n">
        <x:v>63745</x:v>
      </x:c>
      <x:c r="I33" s="9" t="n">
        <x:f>H33*'Resumo e método'!$B$20</x:f>
        <x:v>57.3705</x:v>
      </x:c>
      <x:c r="J33" s="9" t="n">
        <x:f>E33-I33</x:f>
        <x:v>0.018900000000002137</x:v>
      </x:c>
    </x:row>
    <x:row r="34" ht="21" customHeight="1">
      <x:c r="A34" s="12" t="str">
        <x:v>2110500</x:v>
      </x:c>
      <x:c r="B34" s="12" t="str">
        <x:v>São Bento</x:v>
      </x:c>
      <x:c r="C34" s="12" t="str">
        <x:v>MA</x:v>
      </x:c>
      <x:c r="D34" s="13" t="n">
        <x:v>121</x:v>
      </x:c>
      <x:c r="E34" s="14" t="n">
        <x:f>D34*'Resumo e método'!$B$20</x:f>
        <x:v>0.1089</x:v>
      </x:c>
      <x:c r="F34" s="15" t="n">
        <x:f>E34*100</x:f>
        <x:v>10.89</x:v>
      </x:c>
      <x:c r="G34" s="16" t="n">
        <x:f>E34/'Resumo e método'!$C$9</x:f>
        <x:v>0.000016055085129766888</x:v>
      </x:c>
      <x:c r="H34" s="13" t="n">
        <x:v>121</x:v>
      </x:c>
      <x:c r="I34" s="14" t="n">
        <x:f>H34*'Resumo e método'!$B$20</x:f>
        <x:v>0.1089</x:v>
      </x:c>
      <x:c r="J34" s="14" t="n">
        <x:f>E34-I34</x:f>
        <x:v>0</x:v>
      </x:c>
    </x:row>
    <x:row r="35" ht="21" customHeight="1">
      <x:c r="A35" s="2" t="str">
        <x:v>2111201</x:v>
      </x:c>
      <x:c r="B35" s="2" t="str">
        <x:v>São José de Ribamar</x:v>
      </x:c>
      <x:c r="C35" s="2" t="str">
        <x:v>MA</x:v>
      </x:c>
      <x:c r="D35" s="8" t="n">
        <x:v>25449</x:v>
      </x:c>
      <x:c r="E35" s="9" t="n">
        <x:f>D35*'Resumo e método'!$B$20</x:f>
        <x:v>22.9041</x:v>
      </x:c>
      <x:c r="F35" s="10" t="n">
        <x:f>E35*100</x:f>
        <x:v>2290.41</x:v>
      </x:c>
      <x:c r="G35" s="11" t="n">
        <x:f>E35/'Resumo e método'!$C$9</x:f>
        <x:v>0.003376742656755682</x:v>
      </x:c>
      <x:c r="H35" s="8" t="n">
        <x:v>25449</x:v>
      </x:c>
      <x:c r="I35" s="9" t="n">
        <x:f>H35*'Resumo e método'!$B$20</x:f>
        <x:v>22.9041</x:v>
      </x:c>
      <x:c r="J35" s="9" t="n">
        <x:f>E35-I35</x:f>
        <x:v>0</x:v>
      </x:c>
    </x:row>
    <x:row r="36" ht="21" customHeight="1">
      <x:c r="A36" s="12" t="str">
        <x:v>2111003</x:v>
      </x:c>
      <x:c r="B36" s="12" t="str">
        <x:v>São João Batista</x:v>
      </x:c>
      <x:c r="C36" s="12" t="str">
        <x:v>MA</x:v>
      </x:c>
      <x:c r="D36" s="13" t="n">
        <x:v>47499</x:v>
      </x:c>
      <x:c r="E36" s="14" t="n">
        <x:f>D36*'Resumo e método'!$B$20</x:f>
        <x:v>42.7491</x:v>
      </x:c>
      <x:c r="F36" s="15" t="n">
        <x:f>E36*100</x:f>
        <x:v>4274.91</x:v>
      </x:c>
      <x:c r="G36" s="16" t="n">
        <x:f>E36/'Resumo e método'!$C$9</x:f>
        <x:v>0.006302483376684276</x:v>
      </x:c>
      <x:c r="H36" s="13" t="n">
        <x:v>47499</x:v>
      </x:c>
      <x:c r="I36" s="14" t="n">
        <x:f>H36*'Resumo e método'!$B$20</x:f>
        <x:v>42.7491</x:v>
      </x:c>
      <x:c r="J36" s="14" t="n">
        <x:f>E36-I36</x:f>
        <x:v>0</x:v>
      </x:c>
    </x:row>
    <x:row r="37" ht="21" customHeight="1">
      <x:c r="A37" s="2" t="str">
        <x:v>2111300</x:v>
      </x:c>
      <x:c r="B37" s="2" t="str">
        <x:v>São Luís</x:v>
      </x:c>
      <x:c r="C37" s="2" t="str">
        <x:v>MA</x:v>
      </x:c>
      <x:c r="D37" s="8" t="n">
        <x:v>96228</x:v>
      </x:c>
      <x:c r="E37" s="9" t="n">
        <x:f>D37*'Resumo e método'!$B$20</x:f>
        <x:v>86.6052</x:v>
      </x:c>
      <x:c r="F37" s="10" t="n">
        <x:f>E37*100</x:f>
        <x:v>8660.52</x:v>
      </x:c>
      <x:c r="G37" s="11" t="n">
        <x:f>E37/'Resumo e método'!$C$9</x:f>
        <x:v>0.01276817133774552</x:v>
      </x:c>
      <x:c r="H37" s="8" t="n">
        <x:v>96228</x:v>
      </x:c>
      <x:c r="I37" s="9" t="n">
        <x:f>H37*'Resumo e método'!$B$20</x:f>
        <x:v>86.6052</x:v>
      </x:c>
      <x:c r="J37" s="9" t="n">
        <x:f>E37-I37</x:f>
        <x:v>0</x:v>
      </x:c>
    </x:row>
    <x:row r="38" ht="21" customHeight="1">
      <x:c r="A38" s="12" t="str">
        <x:v>2112407</x:v>
      </x:c>
      <x:c r="B38" s="12" t="str">
        <x:v>Turiaçu</x:v>
      </x:c>
      <x:c r="C38" s="12" t="str">
        <x:v>MA</x:v>
      </x:c>
      <x:c r="D38" s="13" t="n">
        <x:v>342716</x:v>
      </x:c>
      <x:c r="E38" s="14" t="n">
        <x:f>D38*'Resumo e método'!$B$20</x:f>
        <x:v>308.4444</x:v>
      </x:c>
      <x:c r="F38" s="15" t="n">
        <x:f>E38*100</x:f>
        <x:v>30844.44</x:v>
      </x:c>
      <x:c r="G38" s="16" t="n">
        <x:f>E38/'Resumo e método'!$C$9</x:f>
        <x:v>0.04547383930027428</x:v>
      </x:c>
      <x:c r="H38" s="13" t="n">
        <x:v>342421</x:v>
      </x:c>
      <x:c r="I38" s="14" t="n">
        <x:f>H38*'Resumo e método'!$B$20</x:f>
        <x:v>308.1789</x:v>
      </x:c>
      <x:c r="J38" s="14" t="n">
        <x:f>E38-I38</x:f>
        <x:v>0.26549999999997453</x:v>
      </x:c>
    </x:row>
    <x:row r="39" ht="21" customHeight="1">
      <x:c r="A39" s="2" t="str">
        <x:v>2112456</x:v>
      </x:c>
      <x:c r="B39" s="2" t="str">
        <x:v>Turilândia</x:v>
      </x:c>
      <x:c r="C39" s="2" t="str">
        <x:v>MA</x:v>
      </x:c>
      <x:c r="D39" s="8" t="n">
        <x:v>30332</x:v>
      </x:c>
      <x:c r="E39" s="9" t="n">
        <x:f>D39*'Resumo e método'!$B$20</x:f>
        <x:v>27.2988</x:v>
      </x:c>
      <x:c r="F39" s="10" t="n">
        <x:f>E39*100</x:f>
        <x:v>2729.88</x:v>
      </x:c>
      <x:c r="G39" s="11" t="n">
        <x:f>E39/'Resumo e método'!$C$9</x:f>
        <x:v>0.004024651588066853</x:v>
      </x:c>
      <x:c r="H39" s="8" t="n">
        <x:v>30332</x:v>
      </x:c>
      <x:c r="I39" s="9" t="n">
        <x:f>H39*'Resumo e método'!$B$20</x:f>
        <x:v>27.2988</x:v>
      </x:c>
      <x:c r="J39" s="9" t="n">
        <x:f>E39-I39</x:f>
        <x:v>0</x:v>
      </x:c>
    </x:row>
    <x:row r="40" ht="21" customHeight="1">
      <x:c r="A40" s="12" t="str">
        <x:v>2112803</x:v>
      </x:c>
      <x:c r="B40" s="12" t="str">
        <x:v>Viana</x:v>
      </x:c>
      <x:c r="C40" s="12" t="str">
        <x:v>MA</x:v>
      </x:c>
      <x:c r="D40" s="13" t="n">
        <x:v>55749</x:v>
      </x:c>
      <x:c r="E40" s="14" t="n">
        <x:f>D40*'Resumo e método'!$B$20</x:f>
        <x:v>50.174099999999996</x:v>
      </x:c>
      <x:c r="F40" s="15" t="n">
        <x:f>E40*100</x:f>
        <x:v>5017.41</x:v>
      </x:c>
      <x:c r="G40" s="16" t="n">
        <x:f>E40/'Resumo e método'!$C$9</x:f>
        <x:v>0.007397148271895654</x:v>
      </x:c>
      <x:c r="H40" s="13" t="n">
        <x:v>55749</x:v>
      </x:c>
      <x:c r="I40" s="14" t="n">
        <x:f>H40*'Resumo e método'!$B$20</x:f>
        <x:v>50.174099999999996</x:v>
      </x:c>
      <x:c r="J40" s="14" t="n">
        <x:f>E40-I40</x:f>
        <x:v>0</x:v>
      </x:c>
    </x:row>
    <x:row r="41" ht="21" customHeight="1">
      <x:c r="A41" s="2" t="str">
        <x:v>1500800</x:v>
      </x:c>
      <x:c r="B41" s="2" t="str">
        <x:v>Ananindeua</x:v>
      </x:c>
      <x:c r="C41" s="2" t="str">
        <x:v>PA</x:v>
      </x:c>
      <x:c r="D41" s="8" t="n">
        <x:v>9645</x:v>
      </x:c>
      <x:c r="E41" s="9" t="n">
        <x:f>D41*'Resumo e método'!$B$20</x:f>
        <x:v>8.6805</x:v>
      </x:c>
      <x:c r="F41" s="10" t="n">
        <x:f>E41*100</x:f>
        <x:v>868.0500000000001</x:v>
      </x:c>
      <x:c r="G41" s="11" t="n">
        <x:f>E41/'Resumo e método'!$C$9</x:f>
        <x:v>0.0012797627774925756</x:v>
      </x:c>
      <x:c r="H41" s="8" t="n">
        <x:v>9645</x:v>
      </x:c>
      <x:c r="I41" s="9" t="n">
        <x:f>H41*'Resumo e método'!$B$20</x:f>
        <x:v>8.6805</x:v>
      </x:c>
      <x:c r="J41" s="9" t="n">
        <x:f>E41-I41</x:f>
        <x:v>0</x:v>
      </x:c>
    </x:row>
    <x:row r="42" ht="21" customHeight="1">
      <x:c r="A42" s="12" t="str">
        <x:v>1500909</x:v>
      </x:c>
      <x:c r="B42" s="12" t="str">
        <x:v>Augusto Corrêa</x:v>
      </x:c>
      <x:c r="C42" s="12" t="str">
        <x:v>PA</x:v>
      </x:c>
      <x:c r="D42" s="13" t="n">
        <x:v>350226</x:v>
      </x:c>
      <x:c r="E42" s="14" t="n">
        <x:f>D42*'Resumo e método'!$B$20</x:f>
        <x:v>315.2034</x:v>
      </x:c>
      <x:c r="F42" s="15" t="n">
        <x:f>E42*100</x:f>
        <x:v>31520.34</x:v>
      </x:c>
      <x:c r="G42" s="16" t="n">
        <x:f>E42/'Resumo e método'!$C$9</x:f>
        <x:v>0.046470316071551554</x:v>
      </x:c>
      <x:c r="H42" s="13" t="n">
        <x:v>346681</x:v>
      </x:c>
      <x:c r="I42" s="14" t="n">
        <x:f>H42*'Resumo e método'!$B$20</x:f>
        <x:v>312.0129</x:v>
      </x:c>
      <x:c r="J42" s="14" t="n">
        <x:f>E42-I42</x:f>
        <x:v>3.190499999999986</x:v>
      </x:c>
    </x:row>
    <x:row r="43" ht="21" customHeight="1">
      <x:c r="A43" s="2" t="str">
        <x:v>1501303</x:v>
      </x:c>
      <x:c r="B43" s="2" t="str">
        <x:v>Barcarena</x:v>
      </x:c>
      <x:c r="C43" s="2" t="str">
        <x:v>PA</x:v>
      </x:c>
      <x:c r="D43" s="8" t="n">
        <x:v>15092</x:v>
      </x:c>
      <x:c r="E43" s="9" t="n">
        <x:f>D43*'Resumo e método'!$B$20</x:f>
        <x:v>13.582799999999999</x:v>
      </x:c>
      <x:c r="F43" s="10" t="n">
        <x:f>E43*100</x:f>
        <x:v>1358.28</x:v>
      </x:c>
      <x:c r="G43" s="11" t="n">
        <x:f>E43/'Resumo e método'!$C$9</x:f>
        <x:v>0.002002506981640015</x:v>
      </x:c>
      <x:c r="H43" s="8" t="n">
        <x:v>15092</x:v>
      </x:c>
      <x:c r="I43" s="9" t="n">
        <x:f>H43*'Resumo e método'!$B$20</x:f>
        <x:v>13.582799999999999</x:v>
      </x:c>
      <x:c r="J43" s="9" t="n">
        <x:f>E43-I43</x:f>
        <x:v>0</x:v>
      </x:c>
    </x:row>
    <x:row r="44" ht="21" customHeight="1">
      <x:c r="A44" s="12" t="str">
        <x:v>1501402</x:v>
      </x:c>
      <x:c r="B44" s="12" t="str">
        <x:v>Belém</x:v>
      </x:c>
      <x:c r="C44" s="12" t="str">
        <x:v>PA</x:v>
      </x:c>
      <x:c r="D44" s="13" t="n">
        <x:v>15433</x:v>
      </x:c>
      <x:c r="E44" s="14" t="n">
        <x:f>D44*'Resumo e método'!$B$20</x:f>
        <x:v>13.8897</x:v>
      </x:c>
      <x:c r="F44" s="15" t="n">
        <x:f>E44*100</x:f>
        <x:v>1388.97</x:v>
      </x:c>
      <x:c r="G44" s="16" t="n">
        <x:f>E44/'Resumo e método'!$C$9</x:f>
        <x:v>0.0020477531306420855</x:v>
      </x:c>
      <x:c r="H44" s="13" t="n">
        <x:v>15433</x:v>
      </x:c>
      <x:c r="I44" s="14" t="n">
        <x:f>H44*'Resumo e método'!$B$20</x:f>
        <x:v>13.8897</x:v>
      </x:c>
      <x:c r="J44" s="14" t="n">
        <x:f>E44-I44</x:f>
        <x:v>0</x:v>
      </x:c>
    </x:row>
    <x:row r="45" ht="21" customHeight="1">
      <x:c r="A45" s="2" t="str">
        <x:v>1501501</x:v>
      </x:c>
      <x:c r="B45" s="2" t="str">
        <x:v>Benevides</x:v>
      </x:c>
      <x:c r="C45" s="2" t="str">
        <x:v>PA</x:v>
      </x:c>
      <x:c r="D45" s="8" t="n">
        <x:v>1449</x:v>
      </x:c>
      <x:c r="E45" s="9" t="n">
        <x:f>D45*'Resumo e método'!$B$20</x:f>
        <x:v>1.3041</x:v>
      </x:c>
      <x:c r="F45" s="10" t="n">
        <x:f>E45*100</x:f>
        <x:v>130.41</x:v>
      </x:c>
      <x:c r="G45" s="11" t="n">
        <x:f>E45/'Resumo e método'!$C$9</x:f>
        <x:v>0.0001922629615953076</x:v>
      </x:c>
      <x:c r="H45" s="8" t="n">
        <x:v>1449</x:v>
      </x:c>
      <x:c r="I45" s="9" t="n">
        <x:f>H45*'Resumo e método'!$B$20</x:f>
        <x:v>1.3041</x:v>
      </x:c>
      <x:c r="J45" s="9" t="n">
        <x:f>E45-I45</x:f>
        <x:v>0</x:v>
      </x:c>
    </x:row>
    <x:row r="46" ht="21" customHeight="1">
      <x:c r="A46" s="12" t="str">
        <x:v>1501709</x:v>
      </x:c>
      <x:c r="B46" s="12" t="str">
        <x:v>Bragança</x:v>
      </x:c>
      <x:c r="C46" s="12" t="str">
        <x:v>PA</x:v>
      </x:c>
      <x:c r="D46" s="13" t="n">
        <x:v>284070</x:v>
      </x:c>
      <x:c r="E46" s="14" t="n">
        <x:f>D46*'Resumo e método'!$B$20</x:f>
        <x:v>255.66299999999998</x:v>
      </x:c>
      <x:c r="F46" s="15" t="n">
        <x:f>E46*100</x:f>
        <x:v>25566.3</x:v>
      </x:c>
      <x:c r="G46" s="16" t="n">
        <x:f>E46/'Resumo e método'!$C$9</x:f>
        <x:v>0.03769229779184198</x:v>
      </x:c>
      <x:c r="H46" s="13" t="n">
        <x:v>282490</x:v>
      </x:c>
      <x:c r="I46" s="14" t="n">
        <x:f>H46*'Resumo e método'!$B$20</x:f>
        <x:v>254.24099999999999</x:v>
      </x:c>
      <x:c r="J46" s="14" t="n">
        <x:f>E46-I46</x:f>
        <x:v>1.421999999999997</x:v>
      </x:c>
    </x:row>
    <x:row r="47" ht="21" customHeight="1">
      <x:c r="A47" s="2" t="str">
        <x:v>1502608</x:v>
      </x:c>
      <x:c r="B47" s="2" t="str">
        <x:v>Colares</x:v>
      </x:c>
      <x:c r="C47" s="2" t="str">
        <x:v>PA</x:v>
      </x:c>
      <x:c r="D47" s="8" t="n">
        <x:v>25185</x:v>
      </x:c>
      <x:c r="E47" s="9" t="n">
        <x:f>D47*'Resumo e método'!$B$20</x:f>
        <x:v>22.6665</x:v>
      </x:c>
      <x:c r="F47" s="10" t="n">
        <x:f>E47*100</x:f>
        <x:v>2266.65</x:v>
      </x:c>
      <x:c r="G47" s="11" t="n">
        <x:f>E47/'Resumo e método'!$C$9</x:f>
        <x:v>0.003341713380108918</x:v>
      </x:c>
      <x:c r="H47" s="8" t="n">
        <x:v>25185</x:v>
      </x:c>
      <x:c r="I47" s="9" t="n">
        <x:f>H47*'Resumo e método'!$B$20</x:f>
        <x:v>22.6665</x:v>
      </x:c>
      <x:c r="J47" s="9" t="n">
        <x:f>E47-I47</x:f>
        <x:v>0</x:v>
      </x:c>
    </x:row>
    <x:row r="48" ht="21" customHeight="1">
      <x:c r="A48" s="12" t="str">
        <x:v>1502905</x:v>
      </x:c>
      <x:c r="B48" s="12" t="str">
        <x:v>Curuçá</x:v>
      </x:c>
      <x:c r="C48" s="12" t="str">
        <x:v>PA</x:v>
      </x:c>
      <x:c r="D48" s="13" t="n">
        <x:v>201300</x:v>
      </x:c>
      <x:c r="E48" s="14" t="n">
        <x:f>D48*'Resumo e método'!$B$20</x:f>
        <x:v>181.17</x:v>
      </x:c>
      <x:c r="F48" s="15" t="n">
        <x:f>E48*100</x:f>
        <x:v>18117</x:v>
      </x:c>
      <x:c r="G48" s="16" t="n">
        <x:f>E48/'Resumo e método'!$C$9</x:f>
        <x:v>0.02670982344315764</x:v>
      </x:c>
      <x:c r="H48" s="13" t="n">
        <x:v>200287</x:v>
      </x:c>
      <x:c r="I48" s="14" t="n">
        <x:f>H48*'Resumo e método'!$B$20</x:f>
        <x:v>180.2583</x:v>
      </x:c>
      <x:c r="J48" s="14" t="n">
        <x:f>E48-I48</x:f>
        <x:v>0.9116999999999962</x:v>
      </x:c>
    </x:row>
    <x:row r="49" ht="21" customHeight="1">
      <x:c r="A49" s="2" t="str">
        <x:v>1503200</x:v>
      </x:c>
      <x:c r="B49" s="2" t="str">
        <x:v>Igarapé-Açu</x:v>
      </x:c>
      <x:c r="C49" s="2" t="str">
        <x:v>PA</x:v>
      </x:c>
      <x:c r="D49" s="8" t="n">
        <x:v>140</x:v>
      </x:c>
      <x:c r="E49" s="9" t="n">
        <x:f>D49*'Resumo e método'!$B$20</x:f>
        <x:v>0.126</x:v>
      </x:c>
      <x:c r="F49" s="10" t="n">
        <x:f>E49*100</x:f>
        <x:v>12.6</x:v>
      </x:c>
      <x:c r="G49" s="11" t="n">
        <x:f>E49/'Resumo e método'!$C$9</x:f>
        <x:v>0.000018576131555102183</x:v>
      </x:c>
      <x:c r="H49" s="8" t="n">
        <x:v>140</x:v>
      </x:c>
      <x:c r="I49" s="9" t="n">
        <x:f>H49*'Resumo e método'!$B$20</x:f>
        <x:v>0.126</x:v>
      </x:c>
      <x:c r="J49" s="9" t="n">
        <x:f>E49-I49</x:f>
        <x:v>0</x:v>
      </x:c>
    </x:row>
    <x:row r="50" ht="21" customHeight="1">
      <x:c r="A50" s="12" t="str">
        <x:v>1504109</x:v>
      </x:c>
      <x:c r="B50" s="12" t="str">
        <x:v>Magalhães Barata</x:v>
      </x:c>
      <x:c r="C50" s="12" t="str">
        <x:v>PA</x:v>
      </x:c>
      <x:c r="D50" s="13" t="n">
        <x:v>51634</x:v>
      </x:c>
      <x:c r="E50" s="14" t="n">
        <x:f>D50*'Resumo e método'!$B$20</x:f>
        <x:v>46.4706</x:v>
      </x:c>
      <x:c r="F50" s="15" t="n">
        <x:f>E50*100</x:f>
        <x:v>4647.0599999999995</x:v>
      </x:c>
      <x:c r="G50" s="16" t="n">
        <x:f>E50/'Resumo e método'!$C$9</x:f>
        <x:v>0.006851142690829615</x:v>
      </x:c>
      <x:c r="H50" s="13" t="n">
        <x:v>51634</x:v>
      </x:c>
      <x:c r="I50" s="14" t="n">
        <x:f>H50*'Resumo e método'!$B$20</x:f>
        <x:v>46.4706</x:v>
      </x:c>
      <x:c r="J50" s="14" t="n">
        <x:f>E50-I50</x:f>
        <x:v>0</x:v>
      </x:c>
    </x:row>
    <x:row r="51" ht="21" customHeight="1">
      <x:c r="A51" s="2" t="str">
        <x:v>1504307</x:v>
      </x:c>
      <x:c r="B51" s="2" t="str">
        <x:v>Maracanã</x:v>
      </x:c>
      <x:c r="C51" s="2" t="str">
        <x:v>PA</x:v>
      </x:c>
      <x:c r="D51" s="8" t="n">
        <x:v>161975</x:v>
      </x:c>
      <x:c r="E51" s="9" t="n">
        <x:f>D51*'Resumo e método'!$B$20</x:f>
        <x:v>145.7775</x:v>
      </x:c>
      <x:c r="F51" s="10" t="n">
        <x:f>E51*100</x:f>
        <x:v>14577.75</x:v>
      </x:c>
      <x:c r="G51" s="11" t="n">
        <x:f>E51/'Resumo e método'!$C$9</x:f>
        <x:v>0.021491920775983404</x:v>
      </x:c>
      <x:c r="H51" s="8" t="n">
        <x:v>160624</x:v>
      </x:c>
      <x:c r="I51" s="9" t="n">
        <x:f>H51*'Resumo e método'!$B$20</x:f>
        <x:v>144.5616</x:v>
      </x:c>
      <x:c r="J51" s="9" t="n">
        <x:f>E51-I51</x:f>
        <x:v>1.2159000000000049</x:v>
      </x:c>
    </x:row>
    <x:row r="52" ht="21" customHeight="1">
      <x:c r="A52" s="12" t="str">
        <x:v>1504406</x:v>
      </x:c>
      <x:c r="B52" s="12" t="str">
        <x:v>Marapanim</x:v>
      </x:c>
      <x:c r="C52" s="12" t="str">
        <x:v>PA</x:v>
      </x:c>
      <x:c r="D52" s="13" t="n">
        <x:v>109152</x:v>
      </x:c>
      <x:c r="E52" s="14" t="n">
        <x:f>D52*'Resumo e método'!$B$20</x:f>
        <x:v>98.2368</x:v>
      </x:c>
      <x:c r="F52" s="15" t="n">
        <x:f>E52*100</x:f>
        <x:v>9823.68</x:v>
      </x:c>
      <x:c r="G52" s="16" t="n">
        <x:f>E52/'Resumo e método'!$C$9</x:f>
        <x:v>0.014483013653589383</x:v>
      </x:c>
      <x:c r="H52" s="13" t="n">
        <x:v>108962</x:v>
      </x:c>
      <x:c r="I52" s="14" t="n">
        <x:f>H52*'Resumo e método'!$B$20</x:f>
        <x:v>98.0658</x:v>
      </x:c>
      <x:c r="J52" s="14" t="n">
        <x:f>E52-I52</x:f>
        <x:v>0.17100000000000648</x:v>
      </x:c>
    </x:row>
    <x:row r="53" ht="21" customHeight="1">
      <x:c r="A53" s="2" t="str">
        <x:v>1504422</x:v>
      </x:c>
      <x:c r="B53" s="2" t="str">
        <x:v>Marituba</x:v>
      </x:c>
      <x:c r="C53" s="2" t="str">
        <x:v>PA</x:v>
      </x:c>
      <x:c r="D53" s="8" t="n">
        <x:v>1032</x:v>
      </x:c>
      <x:c r="E53" s="9" t="n">
        <x:f>D53*'Resumo e método'!$B$20</x:f>
        <x:v>0.9288</x:v>
      </x:c>
      <x:c r="F53" s="10" t="n">
        <x:f>E53*100</x:f>
        <x:v>92.88</x:v>
      </x:c>
      <x:c r="G53" s="11" t="n">
        <x:f>E53/'Resumo e método'!$C$9</x:f>
        <x:v>0.0001369326268918961</x:v>
      </x:c>
      <x:c r="H53" s="8" t="n">
        <x:v>1032</x:v>
      </x:c>
      <x:c r="I53" s="9" t="n">
        <x:f>H53*'Resumo e método'!$B$20</x:f>
        <x:v>0.9288</x:v>
      </x:c>
      <x:c r="J53" s="9" t="n">
        <x:f>E53-I53</x:f>
        <x:v>0</x:v>
      </x:c>
    </x:row>
    <x:row r="54" ht="21" customHeight="1">
      <x:c r="A54" s="12" t="str">
        <x:v>1505007</x:v>
      </x:c>
      <x:c r="B54" s="12" t="str">
        <x:v>Nova Timboteua</x:v>
      </x:c>
      <x:c r="C54" s="12" t="str">
        <x:v>PA</x:v>
      </x:c>
      <x:c r="D54" s="13" t="n">
        <x:v>12</x:v>
      </x:c>
      <x:c r="E54" s="14" t="n">
        <x:f>D54*'Resumo e método'!$B$20</x:f>
        <x:v>0.0108</x:v>
      </x:c>
      <x:c r="F54" s="15" t="n">
        <x:f>E54*100</x:f>
        <x:v>1.08</x:v>
      </x:c>
      <x:c r="G54" s="16" t="n">
        <x:f>E54/'Resumo e método'!$C$9</x:f>
        <x:v>0.0000015922398475801873</x:v>
      </x:c>
      <x:c r="H54" s="13" t="n">
        <x:v>12</x:v>
      </x:c>
      <x:c r="I54" s="14" t="n">
        <x:f>H54*'Resumo e método'!$B$20</x:f>
        <x:v>0.0108</x:v>
      </x:c>
      <x:c r="J54" s="14" t="n">
        <x:f>E54-I54</x:f>
        <x:v>0</x:v>
      </x:c>
    </x:row>
    <x:row r="55" ht="21" customHeight="1">
      <x:c r="A55" s="2" t="str">
        <x:v>1506104</x:v>
      </x:c>
      <x:c r="B55" s="2" t="str">
        <x:v>Primavera</x:v>
      </x:c>
      <x:c r="C55" s="2" t="str">
        <x:v>PA</x:v>
      </x:c>
      <x:c r="D55" s="8" t="n">
        <x:v>20749</x:v>
      </x:c>
      <x:c r="E55" s="9" t="n">
        <x:f>D55*'Resumo e método'!$B$20</x:f>
        <x:v>18.6741</x:v>
      </x:c>
      <x:c r="F55" s="10" t="n">
        <x:f>E55*100</x:f>
        <x:v>1867.4099999999999</x:v>
      </x:c>
      <x:c r="G55" s="11" t="n">
        <x:f>E55/'Resumo e método'!$C$9</x:f>
        <x:v>0.0027531153831201085</x:v>
      </x:c>
      <x:c r="H55" s="8" t="n">
        <x:v>20749</x:v>
      </x:c>
      <x:c r="I55" s="9" t="n">
        <x:f>H55*'Resumo e método'!$B$20</x:f>
        <x:v>18.6741</x:v>
      </x:c>
      <x:c r="J55" s="9" t="n">
        <x:f>E55-I55</x:f>
        <x:v>0</x:v>
      </x:c>
    </x:row>
    <x:row r="56" ht="21" customHeight="1">
      <x:c r="A56" s="12" t="str">
        <x:v>1506112</x:v>
      </x:c>
      <x:c r="B56" s="12" t="str">
        <x:v>Quatipuru</x:v>
      </x:c>
      <x:c r="C56" s="12" t="str">
        <x:v>PA</x:v>
      </x:c>
      <x:c r="D56" s="13" t="n">
        <x:v>150250</x:v>
      </x:c>
      <x:c r="E56" s="14" t="n">
        <x:f>D56*'Resumo e método'!$B$20</x:f>
        <x:v>135.225</x:v>
      </x:c>
      <x:c r="F56" s="15" t="n">
        <x:f>E56*100</x:f>
        <x:v>13522.5</x:v>
      </x:c>
      <x:c r="G56" s="16" t="n">
        <x:f>E56/'Resumo e método'!$C$9</x:f>
        <x:v>0.019936169758243593</x:v>
      </x:c>
      <x:c r="H56" s="13" t="n">
        <x:v>149188</x:v>
      </x:c>
      <x:c r="I56" s="14" t="n">
        <x:f>H56*'Resumo e método'!$B$20</x:f>
        <x:v>134.26919999999998</x:v>
      </x:c>
      <x:c r="J56" s="14" t="n">
        <x:f>E56-I56</x:f>
        <x:v>0.9558000000000106</x:v>
      </x:c>
    </x:row>
    <x:row r="57" ht="21" customHeight="1">
      <x:c r="A57" s="2" t="str">
        <x:v>1506203</x:v>
      </x:c>
      <x:c r="B57" s="2" t="str">
        <x:v>Salinópolis</x:v>
      </x:c>
      <x:c r="C57" s="2" t="str">
        <x:v>PA</x:v>
      </x:c>
      <x:c r="D57" s="8" t="n">
        <x:v>70346</x:v>
      </x:c>
      <x:c r="E57" s="9" t="n">
        <x:f>D57*'Resumo e método'!$B$20</x:f>
        <x:v>63.3114</x:v>
      </x:c>
      <x:c r="F57" s="10" t="n">
        <x:f>E57*100</x:f>
        <x:v>6331.14</x:v>
      </x:c>
      <x:c r="G57" s="11" t="n">
        <x:f>E57/'Resumo e método'!$C$9</x:f>
        <x:v>0.009333975359822987</x:v>
      </x:c>
      <x:c r="H57" s="8" t="n">
        <x:v>70184</x:v>
      </x:c>
      <x:c r="I57" s="9" t="n">
        <x:f>H57*'Resumo e método'!$B$20</x:f>
        <x:v>63.1656</x:v>
      </x:c>
      <x:c r="J57" s="9" t="n">
        <x:f>E57-I57</x:f>
        <x:v>0.14580000000000126</x:v>
      </x:c>
    </x:row>
    <x:row r="58" ht="21" customHeight="1">
      <x:c r="A58" s="12" t="str">
        <x:v>1506351</x:v>
      </x:c>
      <x:c r="B58" s="12" t="str">
        <x:v>Santa Bárbara do Pará</x:v>
      </x:c>
      <x:c r="C58" s="12" t="str">
        <x:v>PA</x:v>
      </x:c>
      <x:c r="D58" s="13" t="n">
        <x:v>158</x:v>
      </x:c>
      <x:c r="E58" s="14" t="n">
        <x:f>D58*'Resumo e método'!$B$20</x:f>
        <x:v>0.1422</x:v>
      </x:c>
      <x:c r="F58" s="15" t="n">
        <x:f>E58*100</x:f>
        <x:v>14.219999999999999</x:v>
      </x:c>
      <x:c r="G58" s="16" t="n">
        <x:f>E58/'Resumo e método'!$C$9</x:f>
        <x:v>0.000020964491326472462</x:v>
      </x:c>
      <x:c r="H58" s="13" t="n">
        <x:v>158</x:v>
      </x:c>
      <x:c r="I58" s="14" t="n">
        <x:f>H58*'Resumo e método'!$B$20</x:f>
        <x:v>0.1422</x:v>
      </x:c>
      <x:c r="J58" s="14" t="n">
        <x:f>E58-I58</x:f>
        <x:v>0</x:v>
      </x:c>
    </x:row>
    <x:row r="59" ht="21" customHeight="1">
      <x:c r="A59" s="2" t="str">
        <x:v>1506906</x:v>
      </x:c>
      <x:c r="B59" s="2" t="str">
        <x:v>Santarém Novo</x:v>
      </x:c>
      <x:c r="C59" s="2" t="str">
        <x:v>PA</x:v>
      </x:c>
      <x:c r="D59" s="8" t="n">
        <x:v>14947</x:v>
      </x:c>
      <x:c r="E59" s="9" t="n">
        <x:f>D59*'Resumo e método'!$B$20</x:f>
        <x:v>13.4523</x:v>
      </x:c>
      <x:c r="F59" s="10" t="n">
        <x:f>E59*100</x:f>
        <x:v>1345.23</x:v>
      </x:c>
      <x:c r="G59" s="11" t="n">
        <x:f>E59/'Resumo e método'!$C$9</x:f>
        <x:v>0.001983267416815088</x:v>
      </x:c>
      <x:c r="H59" s="8" t="n">
        <x:v>14947</x:v>
      </x:c>
      <x:c r="I59" s="9" t="n">
        <x:f>H59*'Resumo e método'!$B$20</x:f>
        <x:v>13.4523</x:v>
      </x:c>
      <x:c r="J59" s="9" t="n">
        <x:f>E59-I59</x:f>
        <x:v>0</x:v>
      </x:c>
    </x:row>
    <x:row r="60" ht="21" customHeight="1">
      <x:c r="A60" s="12" t="str">
        <x:v>1507003</x:v>
      </x:c>
      <x:c r="B60" s="12" t="str">
        <x:v>Santo Antônio do Tauá</x:v>
      </x:c>
      <x:c r="C60" s="12" t="str">
        <x:v>PA</x:v>
      </x:c>
      <x:c r="D60" s="13" t="n">
        <x:v>6737</x:v>
      </x:c>
      <x:c r="E60" s="14" t="n">
        <x:f>D60*'Resumo e método'!$B$20</x:f>
        <x:v>6.0633</x:v>
      </x:c>
      <x:c r="F60" s="15" t="n">
        <x:f>E60*100</x:f>
        <x:v>606.33</x:v>
      </x:c>
      <x:c r="G60" s="16" t="n">
        <x:f>E60/'Resumo e método'!$C$9</x:f>
        <x:v>0.0008939099877623101</x:v>
      </x:c>
      <x:c r="H60" s="13" t="n">
        <x:v>6737</x:v>
      </x:c>
      <x:c r="I60" s="14" t="n">
        <x:f>H60*'Resumo e método'!$B$20</x:f>
        <x:v>6.0633</x:v>
      </x:c>
      <x:c r="J60" s="14" t="n">
        <x:f>E60-I60</x:f>
        <x:v>0</x:v>
      </x:c>
    </x:row>
    <x:row r="61" ht="21" customHeight="1">
      <x:c r="A61" s="2" t="str">
        <x:v>1507102</x:v>
      </x:c>
      <x:c r="B61" s="2" t="str">
        <x:v>São Caetano de Odivelas</x:v>
      </x:c>
      <x:c r="C61" s="2" t="str">
        <x:v>PA</x:v>
      </x:c>
      <x:c r="D61" s="8" t="n">
        <x:v>97846</x:v>
      </x:c>
      <x:c r="E61" s="9" t="n">
        <x:f>D61*'Resumo e método'!$B$20</x:f>
        <x:v>88.06139999999999</x:v>
      </x:c>
      <x:c r="F61" s="10" t="n">
        <x:f>E61*100</x:f>
        <x:v>8806.14</x:v>
      </x:c>
      <x:c r="G61" s="11" t="n">
        <x:f>E61/'Resumo e método'!$C$9</x:f>
        <x:v>0.012982858343860915</x:v>
      </x:c>
      <x:c r="H61" s="8" t="n">
        <x:v>97593</x:v>
      </x:c>
      <x:c r="I61" s="9" t="n">
        <x:f>H61*'Resumo e método'!$B$20</x:f>
        <x:v>87.8337</x:v>
      </x:c>
      <x:c r="J61" s="9" t="n">
        <x:f>E61-I61</x:f>
        <x:v>0.22769999999999868</x:v>
      </x:c>
    </x:row>
    <x:row r="62" ht="21" customHeight="1">
      <x:c r="A62" s="12" t="str">
        <x:v>1507466</x:v>
      </x:c>
      <x:c r="B62" s="12" t="str">
        <x:v>São João da Ponta</x:v>
      </x:c>
      <x:c r="C62" s="12" t="str">
        <x:v>PA</x:v>
      </x:c>
      <x:c r="D62" s="13" t="n">
        <x:v>25902</x:v>
      </x:c>
      <x:c r="E62" s="14" t="n">
        <x:f>D62*'Resumo e método'!$B$20</x:f>
        <x:v>23.311799999999998</x:v>
      </x:c>
      <x:c r="F62" s="15" t="n">
        <x:f>E62*100</x:f>
        <x:v>2331.18</x:v>
      </x:c>
      <x:c r="G62" s="16" t="n">
        <x:f>E62/'Resumo e método'!$C$9</x:f>
        <x:v>0.003436849711001834</x:v>
      </x:c>
      <x:c r="H62" s="13" t="n">
        <x:v>25902</x:v>
      </x:c>
      <x:c r="I62" s="14" t="n">
        <x:f>H62*'Resumo e método'!$B$20</x:f>
        <x:v>23.311799999999998</x:v>
      </x:c>
      <x:c r="J62" s="14" t="n">
        <x:f>E62-I62</x:f>
        <x:v>0</x:v>
      </x:c>
    </x:row>
    <x:row r="63" ht="21" customHeight="1">
      <x:c r="A63" s="2" t="str">
        <x:v>1507474</x:v>
      </x:c>
      <x:c r="B63" s="2" t="str">
        <x:v>São João de Pirabas</x:v>
      </x:c>
      <x:c r="C63" s="2" t="str">
        <x:v>PA</x:v>
      </x:c>
      <x:c r="D63" s="8" t="n">
        <x:v>189945</x:v>
      </x:c>
      <x:c r="E63" s="9" t="n">
        <x:f>D63*'Resumo e método'!$B$20</x:f>
        <x:v>170.9505</x:v>
      </x:c>
      <x:c r="F63" s="10" t="n">
        <x:f>E63*100</x:f>
        <x:v>17095.05</x:v>
      </x:c>
      <x:c r="G63" s="11" t="n">
        <x:f>E63/'Resumo e método'!$C$9</x:f>
        <x:v>0.02520316648738489</x:v>
      </x:c>
      <x:c r="H63" s="8" t="n">
        <x:v>188038</x:v>
      </x:c>
      <x:c r="I63" s="9" t="n">
        <x:f>H63*'Resumo e método'!$B$20</x:f>
        <x:v>169.2342</x:v>
      </x:c>
      <x:c r="J63" s="9" t="n">
        <x:f>E63-I63</x:f>
        <x:v>1.7163000000000181</x:v>
      </x:c>
    </x:row>
    <x:row r="64" ht="21" customHeight="1">
      <x:c r="A64" s="12" t="str">
        <x:v>1508035</x:v>
      </x:c>
      <x:c r="B64" s="12" t="str">
        <x:v>Tracuateua</x:v>
      </x:c>
      <x:c r="C64" s="12" t="str">
        <x:v>PA</x:v>
      </x:c>
      <x:c r="D64" s="13" t="n">
        <x:v>190169</x:v>
      </x:c>
      <x:c r="E64" s="14" t="n">
        <x:f>D64*'Resumo e método'!$B$20</x:f>
        <x:v>171.1521</x:v>
      </x:c>
      <x:c r="F64" s="15" t="n">
        <x:f>E64*100</x:f>
        <x:v>17115.21</x:v>
      </x:c>
      <x:c r="G64" s="16" t="n">
        <x:f>E64/'Resumo e método'!$C$9</x:f>
        <x:v>0.02523288829787305</x:v>
      </x:c>
      <x:c r="H64" s="13" t="n">
        <x:v>189437</x:v>
      </x:c>
      <x:c r="I64" s="14" t="n">
        <x:f>H64*'Resumo e método'!$B$20</x:f>
        <x:v>170.4933</x:v>
      </x:c>
      <x:c r="J64" s="14" t="n">
        <x:f>E64-I64</x:f>
        <x:v>0.6587999999999852</x:v>
      </x:c>
    </x:row>
    <x:row r="65" ht="21" customHeight="1">
      <x:c r="A65" s="2" t="str">
        <x:v>1508209</x:v>
      </x:c>
      <x:c r="B65" s="2" t="str">
        <x:v>Vigia</x:v>
      </x:c>
      <x:c r="C65" s="2" t="str">
        <x:v>PA</x:v>
      </x:c>
      <x:c r="D65" s="8" t="n">
        <x:v>18621</x:v>
      </x:c>
      <x:c r="E65" s="9" t="n">
        <x:f>D65*'Resumo e método'!$B$20</x:f>
        <x:v>16.7589</x:v>
      </x:c>
      <x:c r="F65" s="10" t="n">
        <x:f>E65*100</x:f>
        <x:v>1675.89</x:v>
      </x:c>
      <x:c r="G65" s="11" t="n">
        <x:f>E65/'Resumo e método'!$C$9</x:f>
        <x:v>0.0024707581834825555</x:v>
      </x:c>
      <x:c r="H65" s="8" t="n">
        <x:v>18575</x:v>
      </x:c>
      <x:c r="I65" s="9" t="n">
        <x:f>H65*'Resumo e método'!$B$20</x:f>
        <x:v>16.7175</x:v>
      </x:c>
      <x:c r="J65" s="9" t="n">
        <x:f>E65-I65</x:f>
        <x:v>0.04139999999999944</x:v>
      </x:c>
    </x:row>
    <x:row r="66" ht="21" customHeight="1">
      <x:c r="A66" s="12" t="str">
        <x:v>1508308</x:v>
      </x:c>
      <x:c r="B66" s="12" t="str">
        <x:v>Viseu</x:v>
      </x:c>
      <x:c r="C66" s="12" t="str">
        <x:v>PA</x:v>
      </x:c>
      <x:c r="D66" s="13" t="n">
        <x:v>478018</x:v>
      </x:c>
      <x:c r="E66" s="14" t="n">
        <x:f>D66*'Resumo e método'!$B$20</x:f>
        <x:v>430.2162</x:v>
      </x:c>
      <x:c r="F66" s="15" t="n">
        <x:f>E66*100</x:f>
        <x:v>43021.62</x:v>
      </x:c>
      <x:c r="G66" s="16" t="n">
        <x:f>E66/'Resumo e método'!$C$9</x:f>
        <x:v>0.06342660895504883</x:v>
      </x:c>
      <x:c r="H66" s="13" t="n">
        <x:v>476714</x:v>
      </x:c>
      <x:c r="I66" s="14" t="n">
        <x:f>H66*'Resumo e método'!$B$20</x:f>
        <x:v>429.0426</x:v>
      </x:c>
      <x:c r="J66" s="14" t="n">
        <x:f>E66-I66</x:f>
        <x:v>1.1736000000000217</x:v>
      </x:c>
    </x:row>
  </x:sheetData>
  <x:pageMargins left="0.7" right="0.7" top="0.75" bottom="0.75" header="0.3" footer="0.3"/>
  <x:tableParts count="1">
    <x:tablePart xmlns:r="http://schemas.openxmlformats.org/officeDocument/2006/relationships" r:id="R568e7661f7d74a27"/>
  </x:tableParts>
</x:worksheet>
</file>